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CDAtoFHIRSamples\CDAtoFHIRExamples\Input\"/>
    </mc:Choice>
  </mc:AlternateContent>
  <xr:revisionPtr revIDLastSave="0" documentId="13_ncr:1_{6552BFC3-6157-4B2D-8C5D-EF0B87D11EAE}" xr6:coauthVersionLast="47" xr6:coauthVersionMax="47" xr10:uidLastSave="{00000000-0000-0000-0000-000000000000}"/>
  <bookViews>
    <workbookView xWindow="-110" yWindow="-110" windowWidth="19420" windowHeight="11500" activeTab="1" xr2:uid="{AD9AA5AD-85CE-4E99-8021-1D0325A3266B}"/>
  </bookViews>
  <sheets>
    <sheet name="USCDI_v3_Myra_v6" sheetId="1" r:id="rId1"/>
    <sheet name="USCDI_v3_Myra_v7" sheetId="2" r:id="rId2"/>
  </sheets>
  <definedNames>
    <definedName name="name6">USCDI_v3_Myra_v6!$C:$C</definedName>
    <definedName name="name6a">USCDI_v3_Myra_v6!$C:$D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</calcChain>
</file>

<file path=xl/sharedStrings.xml><?xml version="1.0" encoding="utf-8"?>
<sst xmlns="http://schemas.openxmlformats.org/spreadsheetml/2006/main" count="852" uniqueCount="249">
  <si>
    <t>USCDI Data Class</t>
  </si>
  <si>
    <t>USCDI Data Element</t>
  </si>
  <si>
    <t>Found in File</t>
  </si>
  <si>
    <t>Line Number</t>
  </si>
  <si>
    <t>Entry Type</t>
  </si>
  <si>
    <t>Code/Identifier</t>
  </si>
  <si>
    <t>Allergies and Intolerances</t>
  </si>
  <si>
    <t>Substance (Reactant)</t>
  </si>
  <si>
    <t>Yes</t>
  </si>
  <si>
    <t>participantRole</t>
  </si>
  <si>
    <t>1191 Aspirin; 762952008 Peanut</t>
  </si>
  <si>
    <t>Reaction</t>
  </si>
  <si>
    <t>observation</t>
  </si>
  <si>
    <t>247472004 Wheal</t>
  </si>
  <si>
    <t>Assessment and Plan of Treatment</t>
  </si>
  <si>
    <t>section</t>
  </si>
  <si>
    <t>18776-5 Plan of Treatment</t>
  </si>
  <si>
    <t>SDOH Assessment</t>
  </si>
  <si>
    <t>88122-7 Food insecurity screening</t>
  </si>
  <si>
    <t>Care Team Member(s)</t>
  </si>
  <si>
    <t>Care Team Member Name</t>
  </si>
  <si>
    <t>Care Team Member Identifier</t>
  </si>
  <si>
    <t>Care Team Member Location</t>
  </si>
  <si>
    <t>Care Team Member Telecom</t>
  </si>
  <si>
    <t>Care Team Member Role</t>
  </si>
  <si>
    <t>Clinical Notes</t>
  </si>
  <si>
    <t>Consultation Note</t>
  </si>
  <si>
    <t>act</t>
  </si>
  <si>
    <t>34109-9 / 11488-4 Consultation note</t>
  </si>
  <si>
    <t>Discharge Summary Note</t>
  </si>
  <si>
    <t>History &amp; Physical</t>
  </si>
  <si>
    <t>Imaging Narrative</t>
  </si>
  <si>
    <t>Laboratory Report Narrative</t>
  </si>
  <si>
    <t>Pathology Report Narrative</t>
  </si>
  <si>
    <t>Procedure Note</t>
  </si>
  <si>
    <t>Progress Note</t>
  </si>
  <si>
    <t>Encounter Information</t>
  </si>
  <si>
    <t>Encounter Diagnosis</t>
  </si>
  <si>
    <t>64109004 Costal Chondritis</t>
  </si>
  <si>
    <t>Encounter Disposition</t>
  </si>
  <si>
    <t>Encounter Location</t>
  </si>
  <si>
    <t>Encounter Time</t>
  </si>
  <si>
    <t>effectiveTime</t>
  </si>
  <si>
    <t>201208151000-0800</t>
  </si>
  <si>
    <t>Encounter Type</t>
  </si>
  <si>
    <t>code</t>
  </si>
  <si>
    <t>99213 Office outpatient visit</t>
  </si>
  <si>
    <t>Goals</t>
  </si>
  <si>
    <t>Patient Goals</t>
  </si>
  <si>
    <t>289169006 Weight loss</t>
  </si>
  <si>
    <t>SDOH Goals</t>
  </si>
  <si>
    <t>Health Concerns</t>
  </si>
  <si>
    <t>SDOH Problems/Health Concerns</t>
  </si>
  <si>
    <t>445281000124101 Nutrition impaired due to limited food access</t>
  </si>
  <si>
    <t>Health Insurance Information</t>
  </si>
  <si>
    <t>Coverage Status</t>
  </si>
  <si>
    <t>Coverage Type</t>
  </si>
  <si>
    <t>Group Identifier</t>
  </si>
  <si>
    <t>Member Identifier</t>
  </si>
  <si>
    <t>Payer Identifier</t>
  </si>
  <si>
    <t>Relationship to Subscriber</t>
  </si>
  <si>
    <t>Subscriber Identifier</t>
  </si>
  <si>
    <t>Health Status/Assessments</t>
  </si>
  <si>
    <t>Disability Status</t>
  </si>
  <si>
    <t>Functional Status</t>
  </si>
  <si>
    <t>Mental/Cognitive Status</t>
  </si>
  <si>
    <t>Pregnancy Status</t>
  </si>
  <si>
    <t>Immunizations</t>
  </si>
  <si>
    <t>substanceAdministration</t>
  </si>
  <si>
    <t>CVX 88 Influenza; CVX 43 Hepatitis B</t>
  </si>
  <si>
    <t>Laboratory</t>
  </si>
  <si>
    <t>Tests</t>
  </si>
  <si>
    <t>organizer</t>
  </si>
  <si>
    <t>24357-6 Urinalysis macro panel</t>
  </si>
  <si>
    <t>Values/Results</t>
  </si>
  <si>
    <t>5811-5 Specific gravity 1.015</t>
  </si>
  <si>
    <t>Result Interpretation</t>
  </si>
  <si>
    <t>Result Reference Range</t>
  </si>
  <si>
    <t>referenceRange</t>
  </si>
  <si>
    <t>1.005-1.030</t>
  </si>
  <si>
    <t>Result Status</t>
  </si>
  <si>
    <t>statusCode</t>
  </si>
  <si>
    <t>completed</t>
  </si>
  <si>
    <t>Specimen Type</t>
  </si>
  <si>
    <t>Medications</t>
  </si>
  <si>
    <t>1190220 Albuterol/ipratropium; 1657066 Bevacizumab</t>
  </si>
  <si>
    <t>Dose</t>
  </si>
  <si>
    <t>doseQuantity</t>
  </si>
  <si>
    <t>value=1; value=5 unit=mg/kg</t>
  </si>
  <si>
    <t>Dose Unit of Measure</t>
  </si>
  <si>
    <t>administrationUnitCode</t>
  </si>
  <si>
    <t>C48501 Inhalation dosing unit</t>
  </si>
  <si>
    <t>Indication</t>
  </si>
  <si>
    <t>56018004 Wheezing; 363406005 Malignant neoplasm of colon</t>
  </si>
  <si>
    <t>Fill Status</t>
  </si>
  <si>
    <t>supply statusCode</t>
  </si>
  <si>
    <t>Patient Demographics/Information</t>
  </si>
  <si>
    <t>Current Address</t>
  </si>
  <si>
    <t>addr</t>
  </si>
  <si>
    <t>1357 Amber Drive, Beaverton, OR 97006</t>
  </si>
  <si>
    <t>Date of Birth</t>
  </si>
  <si>
    <t>birthTime</t>
  </si>
  <si>
    <t>Email Address</t>
  </si>
  <si>
    <t>Ethnicity</t>
  </si>
  <si>
    <t>ethnicGroupCode</t>
  </si>
  <si>
    <t>2135-2 Hispanic or Latino</t>
  </si>
  <si>
    <t>First Name</t>
  </si>
  <si>
    <t>given</t>
  </si>
  <si>
    <t>Myra</t>
  </si>
  <si>
    <t>Gender Identity</t>
  </si>
  <si>
    <t>Last Name</t>
  </si>
  <si>
    <t>family</t>
  </si>
  <si>
    <t>Jones</t>
  </si>
  <si>
    <t>Phone Number</t>
  </si>
  <si>
    <t>telecom</t>
  </si>
  <si>
    <t>tel:+1(565)867-5309</t>
  </si>
  <si>
    <t>Phone Number Type</t>
  </si>
  <si>
    <t>telecom use</t>
  </si>
  <si>
    <t>MC (mobile)</t>
  </si>
  <si>
    <t>Preferred Language</t>
  </si>
  <si>
    <t>languageCode</t>
  </si>
  <si>
    <t>en</t>
  </si>
  <si>
    <t>Previous Address</t>
  </si>
  <si>
    <t>Previous Name</t>
  </si>
  <si>
    <t>Race</t>
  </si>
  <si>
    <t>raceCode</t>
  </si>
  <si>
    <t>2106-3 White</t>
  </si>
  <si>
    <t>Related Person's Name</t>
  </si>
  <si>
    <t>guardianPerson</t>
  </si>
  <si>
    <t>Boris Betterhalf</t>
  </si>
  <si>
    <t>Related Person's Relationship</t>
  </si>
  <si>
    <t>FTH father</t>
  </si>
  <si>
    <t>Sex</t>
  </si>
  <si>
    <t>administrativeGenderCode</t>
  </si>
  <si>
    <t>F</t>
  </si>
  <si>
    <t>Sex Parameter for Clinical Use</t>
  </si>
  <si>
    <t>Sexual Orientation</t>
  </si>
  <si>
    <t>Suffix</t>
  </si>
  <si>
    <t>Tribal Affiliation</t>
  </si>
  <si>
    <t>Problems</t>
  </si>
  <si>
    <t>233604007 Pneumonia; 195967001 Asthma; 414916001 Obesity; etc.</t>
  </si>
  <si>
    <t>Date of Diagnosis</t>
  </si>
  <si>
    <t>77975-1 Earliest date of diagnosis</t>
  </si>
  <si>
    <t>Date of Resolution</t>
  </si>
  <si>
    <t>effectiveTime high</t>
  </si>
  <si>
    <t>Resolved Acute pharyngitis</t>
  </si>
  <si>
    <t>Procedures</t>
  </si>
  <si>
    <t>procedure</t>
  </si>
  <si>
    <t>416940007 Chest x-ray; 73761001 Colonoscopy; 33206 Pacemaker; etc.</t>
  </si>
  <si>
    <t>SDOH Interventions</t>
  </si>
  <si>
    <t>385767005 Meals on wheels provision education</t>
  </si>
  <si>
    <t>Performance Time</t>
  </si>
  <si>
    <t>Procedure dates</t>
  </si>
  <si>
    <t>Reason for Referral</t>
  </si>
  <si>
    <t>Provenance</t>
  </si>
  <si>
    <t>Author</t>
  </si>
  <si>
    <t>assignedPerson</t>
  </si>
  <si>
    <t>Provider abc</t>
  </si>
  <si>
    <t>Author Organization</t>
  </si>
  <si>
    <t>providerOrganization</t>
  </si>
  <si>
    <t>Primary Care's Partners Test</t>
  </si>
  <si>
    <t>Author Role</t>
  </si>
  <si>
    <t>260000000X</t>
  </si>
  <si>
    <t>Author Time Stamp</t>
  </si>
  <si>
    <t>time</t>
  </si>
  <si>
    <t>20161003182710+0000</t>
  </si>
  <si>
    <t>Smoking Status</t>
  </si>
  <si>
    <t>449868002 Current every day smoker</t>
  </si>
  <si>
    <t>Substance Use</t>
  </si>
  <si>
    <t>Unique Device Identifier(s)</t>
  </si>
  <si>
    <t>UDI</t>
  </si>
  <si>
    <t>Colonoscope UDI; Pacemaker UDI</t>
  </si>
  <si>
    <t>Vital Signs</t>
  </si>
  <si>
    <t>BMI</t>
  </si>
  <si>
    <t>Blood Pressure (Diastolic)</t>
  </si>
  <si>
    <t>Blood Pressure (Systolic)</t>
  </si>
  <si>
    <t>Body Height</t>
  </si>
  <si>
    <t>Body Temperature</t>
  </si>
  <si>
    <t>Body Weight</t>
  </si>
  <si>
    <t>Heart Rate</t>
  </si>
  <si>
    <t>8867-4 HEART RATE</t>
  </si>
  <si>
    <t>Inhaled Oxygen Concentration</t>
  </si>
  <si>
    <t>Pediatric BMI for Age</t>
  </si>
  <si>
    <t>Pediatric Head Circumference</t>
  </si>
  <si>
    <t>Pediatric Weight for Height</t>
  </si>
  <si>
    <t>Pulse Oximetry</t>
  </si>
  <si>
    <t>Respiratory Rate</t>
  </si>
  <si>
    <t>9279-1 Respiratory rate 16 /min</t>
  </si>
  <si>
    <t>2708-6 SpO2 97%</t>
  </si>
  <si>
    <t>3150-0 Inhaled O2 21%</t>
  </si>
  <si>
    <t>8867-4 HEART RATE 80 /min</t>
  </si>
  <si>
    <t>29463-7 Weight 85 kg</t>
  </si>
  <si>
    <t>8310-5 Temperature 37.0 Cel</t>
  </si>
  <si>
    <t>8302-2 Height 162 cm</t>
  </si>
  <si>
    <t>8480-6 Systolic BP 128 mm[Hg]</t>
  </si>
  <si>
    <t>8462-4 Diastolic BP 78 mm[Hg]</t>
  </si>
  <si>
    <t>39156-5 BMI 32.4 kg/m2</t>
  </si>
  <si>
    <t>74013-4 Alcoholic drinks per day - Social drinker</t>
  </si>
  <si>
    <t>42349-1 Reason for referral</t>
  </si>
  <si>
    <t>20430005 Heterosexual</t>
  </si>
  <si>
    <t>Myra Gonzalez (maiden)</t>
  </si>
  <si>
    <t>name use=SRCH</t>
  </si>
  <si>
    <t>742 Evergreen Terrace, Portland, OR 97201</t>
  </si>
  <si>
    <t>addr use=OLD</t>
  </si>
  <si>
    <t>446141000124107 Identifies as female gender</t>
  </si>
  <si>
    <t>mailto:myra.jones@email.com</t>
  </si>
  <si>
    <t>122575003 Urine specimen</t>
  </si>
  <si>
    <t>specimen</t>
  </si>
  <si>
    <t>N Normal</t>
  </si>
  <si>
    <t>interpretationCode</t>
  </si>
  <si>
    <t>82810-3 Not pregnant</t>
  </si>
  <si>
    <t>Cognitive function - Alert and oriented x3</t>
  </si>
  <si>
    <t>54522-8 Functional status - Independent</t>
  </si>
  <si>
    <t>96867-5 Disability status - No</t>
  </si>
  <si>
    <t>1EG4-TE5-MK72</t>
  </si>
  <si>
    <t>id extension</t>
  </si>
  <si>
    <t>SELF</t>
  </si>
  <si>
    <t>CMS</t>
  </si>
  <si>
    <t>GRP-98765</t>
  </si>
  <si>
    <t>MA Medicare Part A</t>
  </si>
  <si>
    <t>active</t>
  </si>
  <si>
    <t>75310-3 Health Concern Act</t>
  </si>
  <si>
    <t>section/act</t>
  </si>
  <si>
    <t>410518001 Adequate food supply</t>
  </si>
  <si>
    <t>Urgent Care Center, Portland, OR</t>
  </si>
  <si>
    <t>participant LOC</t>
  </si>
  <si>
    <t>01 Discharged to home</t>
  </si>
  <si>
    <t>sdtc:dischargeDispositionCode</t>
  </si>
  <si>
    <t>11506-5 Progress note</t>
  </si>
  <si>
    <t>28570-0 Procedure note</t>
  </si>
  <si>
    <t>11526-1 Pathology study</t>
  </si>
  <si>
    <t>11502-2 Laboratory report</t>
  </si>
  <si>
    <t>18748-4 Diagnostic imaging study</t>
  </si>
  <si>
    <t>34117-2 History and physical note</t>
  </si>
  <si>
    <t>18842-5 Discharge summary</t>
  </si>
  <si>
    <t>207R00000X Internal Medicine</t>
  </si>
  <si>
    <t>tel:+1(555)555-1002</t>
  </si>
  <si>
    <t>1004 Healthcare Dr., Portland, OR</t>
  </si>
  <si>
    <t>NPI 12345678910</t>
  </si>
  <si>
    <t>id</t>
  </si>
  <si>
    <t>Dr. Samir Khan</t>
  </si>
  <si>
    <t>Mapped</t>
  </si>
  <si>
    <t>Later</t>
  </si>
  <si>
    <t>To do</t>
  </si>
  <si>
    <t>USCDI concat name</t>
  </si>
  <si>
    <t>Note - no need for example</t>
  </si>
  <si>
    <t>tbd</t>
  </si>
  <si>
    <t>Omit</t>
  </si>
  <si>
    <t>Found in Myra6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</si>
</sst>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BD63-E29E-4339-9B9A-D221B1D40BE8}">
  <dimension ref="A1:G97"/>
  <sheetViews>
    <sheetView workbookViewId="0">
      <pane ySplit="1" topLeftCell="A77" activePane="bottomLeft" state="frozen"/>
      <selection activeCell="C1" sqref="C1"/>
      <selection pane="bottomLeft" activeCell="C1" sqref="C1:D1048576"/>
    </sheetView>
  </sheetViews>
  <sheetFormatPr defaultRowHeight="14.5" x14ac:dyDescent="0.35"/>
  <cols>
    <col min="1" max="2" width="29" customWidth="1"/>
    <col min="3" max="3" width="58.54296875" bestFit="1" customWidth="1"/>
    <col min="4" max="4" width="23.08984375" customWidth="1"/>
    <col min="5" max="5" width="11" bestFit="1" customWidth="1"/>
    <col min="6" max="6" width="22.81640625" bestFit="1" customWidth="1"/>
    <col min="7" max="7" width="30.36328125" customWidth="1"/>
    <col min="8" max="8" width="22.453125" customWidth="1"/>
  </cols>
  <sheetData>
    <row r="1" spans="1:7" s="1" customFormat="1" x14ac:dyDescent="0.35">
      <c r="A1" s="1" t="s">
        <v>0</v>
      </c>
      <c r="B1" s="1" t="s">
        <v>1</v>
      </c>
      <c r="C1" s="1" t="s">
        <v>244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7</v>
      </c>
      <c r="C2" t="str">
        <f>A2&amp;" - "&amp;B2</f>
        <v>Allergies and Intolerances - Substance (Reactant)</v>
      </c>
      <c r="D2" t="s">
        <v>8</v>
      </c>
      <c r="E2">
        <v>770</v>
      </c>
      <c r="F2" t="s">
        <v>9</v>
      </c>
      <c r="G2" t="s">
        <v>10</v>
      </c>
    </row>
    <row r="3" spans="1:7" x14ac:dyDescent="0.35">
      <c r="A3" t="s">
        <v>6</v>
      </c>
      <c r="B3" t="s">
        <v>11</v>
      </c>
      <c r="C3" t="str">
        <f t="shared" ref="C3:C66" si="0">A3&amp;" - "&amp;B3</f>
        <v>Allergies and Intolerances - Reaction</v>
      </c>
      <c r="D3" t="s">
        <v>8</v>
      </c>
      <c r="E3">
        <v>790</v>
      </c>
      <c r="F3" t="s">
        <v>12</v>
      </c>
      <c r="G3" t="s">
        <v>13</v>
      </c>
    </row>
    <row r="4" spans="1:7" x14ac:dyDescent="0.35">
      <c r="A4" t="s">
        <v>14</v>
      </c>
      <c r="B4" t="s">
        <v>14</v>
      </c>
      <c r="C4" t="str">
        <f t="shared" si="0"/>
        <v>Assessment and Plan of Treatment - Assessment and Plan of Treatment</v>
      </c>
      <c r="D4" t="s">
        <v>8</v>
      </c>
      <c r="E4">
        <v>1876</v>
      </c>
      <c r="F4" t="s">
        <v>15</v>
      </c>
      <c r="G4" t="s">
        <v>16</v>
      </c>
    </row>
    <row r="5" spans="1:7" x14ac:dyDescent="0.35">
      <c r="A5" t="s">
        <v>14</v>
      </c>
      <c r="B5" t="s">
        <v>17</v>
      </c>
      <c r="C5" t="str">
        <f t="shared" si="0"/>
        <v>Assessment and Plan of Treatment - SDOH Assessment</v>
      </c>
      <c r="D5" t="s">
        <v>8</v>
      </c>
      <c r="E5">
        <v>589</v>
      </c>
      <c r="F5" t="s">
        <v>12</v>
      </c>
      <c r="G5" t="s">
        <v>18</v>
      </c>
    </row>
    <row r="6" spans="1:7" x14ac:dyDescent="0.35">
      <c r="A6" t="s">
        <v>19</v>
      </c>
      <c r="B6" t="s">
        <v>20</v>
      </c>
      <c r="C6" t="str">
        <f t="shared" si="0"/>
        <v>Care Team Member(s) - Care Team Member Name</v>
      </c>
      <c r="D6" t="s">
        <v>243</v>
      </c>
    </row>
    <row r="7" spans="1:7" x14ac:dyDescent="0.35">
      <c r="A7" t="s">
        <v>19</v>
      </c>
      <c r="B7" t="s">
        <v>21</v>
      </c>
      <c r="C7" t="str">
        <f t="shared" si="0"/>
        <v>Care Team Member(s) - Care Team Member Identifier</v>
      </c>
      <c r="D7" t="s">
        <v>243</v>
      </c>
    </row>
    <row r="8" spans="1:7" x14ac:dyDescent="0.35">
      <c r="A8" t="s">
        <v>19</v>
      </c>
      <c r="B8" t="s">
        <v>22</v>
      </c>
      <c r="C8" t="str">
        <f t="shared" si="0"/>
        <v>Care Team Member(s) - Care Team Member Location</v>
      </c>
      <c r="D8" t="s">
        <v>243</v>
      </c>
    </row>
    <row r="9" spans="1:7" x14ac:dyDescent="0.35">
      <c r="A9" t="s">
        <v>19</v>
      </c>
      <c r="B9" t="s">
        <v>23</v>
      </c>
      <c r="C9" t="str">
        <f t="shared" si="0"/>
        <v>Care Team Member(s) - Care Team Member Telecom</v>
      </c>
      <c r="D9" t="s">
        <v>243</v>
      </c>
    </row>
    <row r="10" spans="1:7" x14ac:dyDescent="0.35">
      <c r="A10" t="s">
        <v>19</v>
      </c>
      <c r="B10" t="s">
        <v>24</v>
      </c>
      <c r="C10" t="str">
        <f t="shared" si="0"/>
        <v>Care Team Member(s) - Care Team Member Role</v>
      </c>
      <c r="D10" t="s">
        <v>243</v>
      </c>
    </row>
    <row r="11" spans="1:7" x14ac:dyDescent="0.35">
      <c r="A11" t="s">
        <v>25</v>
      </c>
      <c r="B11" t="s">
        <v>26</v>
      </c>
      <c r="C11" t="str">
        <f t="shared" si="0"/>
        <v>Clinical Notes - Consultation Note</v>
      </c>
      <c r="D11" t="s">
        <v>8</v>
      </c>
      <c r="E11">
        <v>2291</v>
      </c>
      <c r="F11" t="s">
        <v>27</v>
      </c>
      <c r="G11" t="s">
        <v>28</v>
      </c>
    </row>
    <row r="12" spans="1:7" x14ac:dyDescent="0.35">
      <c r="A12" t="s">
        <v>25</v>
      </c>
      <c r="B12" t="s">
        <v>29</v>
      </c>
      <c r="C12" t="str">
        <f t="shared" si="0"/>
        <v>Clinical Notes - Discharge Summary Note</v>
      </c>
      <c r="D12" t="s">
        <v>245</v>
      </c>
    </row>
    <row r="13" spans="1:7" x14ac:dyDescent="0.35">
      <c r="A13" t="s">
        <v>25</v>
      </c>
      <c r="B13" t="s">
        <v>30</v>
      </c>
      <c r="C13" t="str">
        <f t="shared" si="0"/>
        <v>Clinical Notes - History &amp; Physical</v>
      </c>
      <c r="D13" t="s">
        <v>245</v>
      </c>
    </row>
    <row r="14" spans="1:7" x14ac:dyDescent="0.35">
      <c r="A14" t="s">
        <v>25</v>
      </c>
      <c r="B14" t="s">
        <v>31</v>
      </c>
      <c r="C14" t="str">
        <f t="shared" si="0"/>
        <v>Clinical Notes - Imaging Narrative</v>
      </c>
      <c r="D14" t="s">
        <v>245</v>
      </c>
    </row>
    <row r="15" spans="1:7" x14ac:dyDescent="0.35">
      <c r="A15" t="s">
        <v>25</v>
      </c>
      <c r="B15" t="s">
        <v>32</v>
      </c>
      <c r="C15" t="str">
        <f t="shared" si="0"/>
        <v>Clinical Notes - Laboratory Report Narrative</v>
      </c>
      <c r="D15" t="s">
        <v>245</v>
      </c>
    </row>
    <row r="16" spans="1:7" x14ac:dyDescent="0.35">
      <c r="A16" t="s">
        <v>25</v>
      </c>
      <c r="B16" t="s">
        <v>33</v>
      </c>
      <c r="C16" t="str">
        <f t="shared" si="0"/>
        <v>Clinical Notes - Pathology Report Narrative</v>
      </c>
      <c r="D16" t="s">
        <v>245</v>
      </c>
    </row>
    <row r="17" spans="1:7" x14ac:dyDescent="0.35">
      <c r="A17" t="s">
        <v>25</v>
      </c>
      <c r="B17" t="s">
        <v>34</v>
      </c>
      <c r="C17" t="str">
        <f t="shared" si="0"/>
        <v>Clinical Notes - Procedure Note</v>
      </c>
      <c r="D17" t="s">
        <v>245</v>
      </c>
    </row>
    <row r="18" spans="1:7" x14ac:dyDescent="0.35">
      <c r="A18" t="s">
        <v>25</v>
      </c>
      <c r="B18" t="s">
        <v>35</v>
      </c>
      <c r="C18" t="str">
        <f t="shared" si="0"/>
        <v>Clinical Notes - Progress Note</v>
      </c>
      <c r="D18" t="s">
        <v>245</v>
      </c>
    </row>
    <row r="19" spans="1:7" x14ac:dyDescent="0.35">
      <c r="A19" t="s">
        <v>36</v>
      </c>
      <c r="B19" t="s">
        <v>37</v>
      </c>
      <c r="C19" t="str">
        <f t="shared" si="0"/>
        <v>Encounter Information - Encounter Diagnosis</v>
      </c>
      <c r="D19" t="s">
        <v>8</v>
      </c>
      <c r="E19">
        <v>2239</v>
      </c>
      <c r="F19" t="s">
        <v>12</v>
      </c>
      <c r="G19" t="s">
        <v>38</v>
      </c>
    </row>
    <row r="20" spans="1:7" x14ac:dyDescent="0.35">
      <c r="A20" t="s">
        <v>36</v>
      </c>
      <c r="B20" t="s">
        <v>39</v>
      </c>
      <c r="C20" t="str">
        <f t="shared" si="0"/>
        <v>Encounter Information - Encounter Disposition</v>
      </c>
      <c r="D20" t="s">
        <v>243</v>
      </c>
    </row>
    <row r="21" spans="1:7" x14ac:dyDescent="0.35">
      <c r="A21" t="s">
        <v>36</v>
      </c>
      <c r="B21" t="s">
        <v>40</v>
      </c>
      <c r="C21" t="str">
        <f t="shared" si="0"/>
        <v>Encounter Information - Encounter Location</v>
      </c>
      <c r="D21" t="s">
        <v>243</v>
      </c>
    </row>
    <row r="22" spans="1:7" x14ac:dyDescent="0.35">
      <c r="A22" t="s">
        <v>36</v>
      </c>
      <c r="B22" t="s">
        <v>41</v>
      </c>
      <c r="C22" t="str">
        <f t="shared" si="0"/>
        <v>Encounter Information - Encounter Time</v>
      </c>
      <c r="D22" t="s">
        <v>8</v>
      </c>
      <c r="E22">
        <v>2180</v>
      </c>
      <c r="F22" t="s">
        <v>42</v>
      </c>
      <c r="G22" t="s">
        <v>43</v>
      </c>
    </row>
    <row r="23" spans="1:7" x14ac:dyDescent="0.35">
      <c r="A23" t="s">
        <v>36</v>
      </c>
      <c r="B23" t="s">
        <v>44</v>
      </c>
      <c r="C23" t="str">
        <f t="shared" si="0"/>
        <v>Encounter Information - Encounter Type</v>
      </c>
      <c r="D23" t="s">
        <v>8</v>
      </c>
      <c r="E23">
        <v>2171</v>
      </c>
      <c r="F23" t="s">
        <v>45</v>
      </c>
      <c r="G23" t="s">
        <v>46</v>
      </c>
    </row>
    <row r="24" spans="1:7" x14ac:dyDescent="0.35">
      <c r="A24" t="s">
        <v>47</v>
      </c>
      <c r="B24" t="s">
        <v>48</v>
      </c>
      <c r="C24" t="str">
        <f t="shared" si="0"/>
        <v>Goals - Patient Goals</v>
      </c>
      <c r="D24" t="s">
        <v>8</v>
      </c>
      <c r="E24">
        <v>1917</v>
      </c>
      <c r="F24" t="s">
        <v>12</v>
      </c>
      <c r="G24" t="s">
        <v>49</v>
      </c>
    </row>
    <row r="25" spans="1:7" x14ac:dyDescent="0.35">
      <c r="A25" t="s">
        <v>47</v>
      </c>
      <c r="B25" t="s">
        <v>50</v>
      </c>
      <c r="C25" t="str">
        <f t="shared" si="0"/>
        <v>Goals - SDOH Goals</v>
      </c>
      <c r="D25" t="s">
        <v>243</v>
      </c>
    </row>
    <row r="26" spans="1:7" x14ac:dyDescent="0.35">
      <c r="A26" t="s">
        <v>51</v>
      </c>
      <c r="B26" t="s">
        <v>51</v>
      </c>
      <c r="C26" t="str">
        <f t="shared" si="0"/>
        <v>Health Concerns - Health Concerns</v>
      </c>
      <c r="D26" t="s">
        <v>246</v>
      </c>
    </row>
    <row r="27" spans="1:7" x14ac:dyDescent="0.35">
      <c r="A27" t="s">
        <v>51</v>
      </c>
      <c r="B27" t="s">
        <v>52</v>
      </c>
      <c r="C27" t="str">
        <f t="shared" si="0"/>
        <v>Health Concerns - SDOH Problems/Health Concerns</v>
      </c>
      <c r="D27" t="s">
        <v>8</v>
      </c>
      <c r="E27">
        <v>581</v>
      </c>
      <c r="F27" t="s">
        <v>12</v>
      </c>
      <c r="G27" t="s">
        <v>53</v>
      </c>
    </row>
    <row r="28" spans="1:7" x14ac:dyDescent="0.35">
      <c r="A28" t="s">
        <v>54</v>
      </c>
      <c r="B28" t="s">
        <v>55</v>
      </c>
      <c r="C28" t="str">
        <f t="shared" si="0"/>
        <v>Health Insurance Information - Coverage Status</v>
      </c>
      <c r="D28" t="s">
        <v>243</v>
      </c>
    </row>
    <row r="29" spans="1:7" x14ac:dyDescent="0.35">
      <c r="A29" t="s">
        <v>54</v>
      </c>
      <c r="B29" t="s">
        <v>56</v>
      </c>
      <c r="C29" t="str">
        <f t="shared" si="0"/>
        <v>Health Insurance Information - Coverage Type</v>
      </c>
      <c r="D29" t="s">
        <v>243</v>
      </c>
    </row>
    <row r="30" spans="1:7" x14ac:dyDescent="0.35">
      <c r="A30" t="s">
        <v>54</v>
      </c>
      <c r="B30" t="s">
        <v>57</v>
      </c>
      <c r="C30" t="str">
        <f t="shared" si="0"/>
        <v>Health Insurance Information - Group Identifier</v>
      </c>
      <c r="D30" t="s">
        <v>243</v>
      </c>
    </row>
    <row r="31" spans="1:7" x14ac:dyDescent="0.35">
      <c r="A31" t="s">
        <v>54</v>
      </c>
      <c r="B31" t="s">
        <v>58</v>
      </c>
      <c r="C31" t="str">
        <f t="shared" si="0"/>
        <v>Health Insurance Information - Member Identifier</v>
      </c>
      <c r="D31" t="s">
        <v>243</v>
      </c>
    </row>
    <row r="32" spans="1:7" x14ac:dyDescent="0.35">
      <c r="A32" t="s">
        <v>54</v>
      </c>
      <c r="B32" t="s">
        <v>59</v>
      </c>
      <c r="C32" t="str">
        <f t="shared" si="0"/>
        <v>Health Insurance Information - Payer Identifier</v>
      </c>
      <c r="D32" t="s">
        <v>243</v>
      </c>
    </row>
    <row r="33" spans="1:7" x14ac:dyDescent="0.35">
      <c r="A33" t="s">
        <v>54</v>
      </c>
      <c r="B33" t="s">
        <v>60</v>
      </c>
      <c r="C33" t="str">
        <f t="shared" si="0"/>
        <v>Health Insurance Information - Relationship to Subscriber</v>
      </c>
      <c r="D33" t="s">
        <v>243</v>
      </c>
    </row>
    <row r="34" spans="1:7" x14ac:dyDescent="0.35">
      <c r="A34" t="s">
        <v>54</v>
      </c>
      <c r="B34" t="s">
        <v>61</v>
      </c>
      <c r="C34" t="str">
        <f t="shared" si="0"/>
        <v>Health Insurance Information - Subscriber Identifier</v>
      </c>
      <c r="D34" t="s">
        <v>243</v>
      </c>
    </row>
    <row r="35" spans="1:7" x14ac:dyDescent="0.35">
      <c r="A35" t="s">
        <v>62</v>
      </c>
      <c r="B35" t="s">
        <v>63</v>
      </c>
      <c r="C35" t="str">
        <f t="shared" si="0"/>
        <v>Health Status/Assessments - Disability Status</v>
      </c>
      <c r="D35" t="s">
        <v>243</v>
      </c>
    </row>
    <row r="36" spans="1:7" x14ac:dyDescent="0.35">
      <c r="A36" t="s">
        <v>62</v>
      </c>
      <c r="B36" t="s">
        <v>64</v>
      </c>
      <c r="C36" t="str">
        <f t="shared" si="0"/>
        <v>Health Status/Assessments - Functional Status</v>
      </c>
      <c r="D36" t="s">
        <v>243</v>
      </c>
    </row>
    <row r="37" spans="1:7" x14ac:dyDescent="0.35">
      <c r="A37" t="s">
        <v>62</v>
      </c>
      <c r="B37" t="s">
        <v>65</v>
      </c>
      <c r="C37" t="str">
        <f t="shared" si="0"/>
        <v>Health Status/Assessments - Mental/Cognitive Status</v>
      </c>
      <c r="D37" t="s">
        <v>243</v>
      </c>
    </row>
    <row r="38" spans="1:7" x14ac:dyDescent="0.35">
      <c r="A38" t="s">
        <v>62</v>
      </c>
      <c r="B38" t="s">
        <v>66</v>
      </c>
      <c r="C38" t="str">
        <f t="shared" si="0"/>
        <v>Health Status/Assessments - Pregnancy Status</v>
      </c>
      <c r="D38" t="s">
        <v>241</v>
      </c>
    </row>
    <row r="39" spans="1:7" x14ac:dyDescent="0.35">
      <c r="A39" t="s">
        <v>67</v>
      </c>
      <c r="B39" t="s">
        <v>67</v>
      </c>
      <c r="C39" t="str">
        <f t="shared" si="0"/>
        <v>Immunizations - Immunizations</v>
      </c>
      <c r="D39" t="s">
        <v>8</v>
      </c>
      <c r="E39">
        <v>1633</v>
      </c>
      <c r="F39" t="s">
        <v>68</v>
      </c>
      <c r="G39" t="s">
        <v>69</v>
      </c>
    </row>
    <row r="40" spans="1:7" x14ac:dyDescent="0.35">
      <c r="A40" t="s">
        <v>70</v>
      </c>
      <c r="B40" t="s">
        <v>71</v>
      </c>
      <c r="C40" t="str">
        <f t="shared" si="0"/>
        <v>Laboratory - Tests</v>
      </c>
      <c r="D40" t="s">
        <v>8</v>
      </c>
      <c r="E40">
        <v>2006</v>
      </c>
      <c r="F40" t="s">
        <v>72</v>
      </c>
      <c r="G40" t="s">
        <v>73</v>
      </c>
    </row>
    <row r="41" spans="1:7" x14ac:dyDescent="0.35">
      <c r="A41" t="s">
        <v>70</v>
      </c>
      <c r="B41" t="s">
        <v>74</v>
      </c>
      <c r="C41" t="str">
        <f t="shared" si="0"/>
        <v>Laboratory - Values/Results</v>
      </c>
      <c r="D41" t="s">
        <v>8</v>
      </c>
      <c r="E41">
        <v>2042</v>
      </c>
      <c r="F41" t="s">
        <v>12</v>
      </c>
      <c r="G41" t="s">
        <v>75</v>
      </c>
    </row>
    <row r="42" spans="1:7" x14ac:dyDescent="0.35">
      <c r="A42" t="s">
        <v>70</v>
      </c>
      <c r="B42" t="s">
        <v>76</v>
      </c>
      <c r="C42" t="str">
        <f t="shared" si="0"/>
        <v>Laboratory - Result Interpretation</v>
      </c>
      <c r="D42" t="s">
        <v>241</v>
      </c>
    </row>
    <row r="43" spans="1:7" x14ac:dyDescent="0.35">
      <c r="A43" t="s">
        <v>70</v>
      </c>
      <c r="B43" t="s">
        <v>77</v>
      </c>
      <c r="C43" t="str">
        <f t="shared" si="0"/>
        <v>Laboratory - Result Reference Range</v>
      </c>
      <c r="D43" t="s">
        <v>8</v>
      </c>
      <c r="E43">
        <v>2062</v>
      </c>
      <c r="F43" t="s">
        <v>78</v>
      </c>
      <c r="G43" t="s">
        <v>79</v>
      </c>
    </row>
    <row r="44" spans="1:7" x14ac:dyDescent="0.35">
      <c r="A44" t="s">
        <v>70</v>
      </c>
      <c r="B44" t="s">
        <v>80</v>
      </c>
      <c r="C44" t="str">
        <f t="shared" si="0"/>
        <v>Laboratory - Result Status</v>
      </c>
      <c r="D44" t="s">
        <v>8</v>
      </c>
      <c r="E44">
        <v>2012</v>
      </c>
      <c r="F44" t="s">
        <v>81</v>
      </c>
      <c r="G44" t="s">
        <v>82</v>
      </c>
    </row>
    <row r="45" spans="1:7" x14ac:dyDescent="0.35">
      <c r="A45" t="s">
        <v>70</v>
      </c>
      <c r="B45" t="s">
        <v>83</v>
      </c>
      <c r="C45" t="str">
        <f t="shared" si="0"/>
        <v>Laboratory - Specimen Type</v>
      </c>
      <c r="D45" t="s">
        <v>241</v>
      </c>
    </row>
    <row r="46" spans="1:7" x14ac:dyDescent="0.35">
      <c r="A46" t="s">
        <v>84</v>
      </c>
      <c r="B46" t="s">
        <v>84</v>
      </c>
      <c r="C46" t="str">
        <f t="shared" si="0"/>
        <v>Medications - Medications</v>
      </c>
      <c r="D46" t="s">
        <v>8</v>
      </c>
      <c r="E46">
        <v>1030</v>
      </c>
      <c r="F46" t="s">
        <v>68</v>
      </c>
      <c r="G46" t="s">
        <v>85</v>
      </c>
    </row>
    <row r="47" spans="1:7" x14ac:dyDescent="0.35">
      <c r="A47" t="s">
        <v>84</v>
      </c>
      <c r="B47" t="s">
        <v>86</v>
      </c>
      <c r="C47" t="str">
        <f t="shared" si="0"/>
        <v>Medications - Dose</v>
      </c>
      <c r="D47" t="s">
        <v>8</v>
      </c>
      <c r="E47">
        <v>1018</v>
      </c>
      <c r="F47" t="s">
        <v>87</v>
      </c>
      <c r="G47" t="s">
        <v>88</v>
      </c>
    </row>
    <row r="48" spans="1:7" x14ac:dyDescent="0.35">
      <c r="A48" t="s">
        <v>84</v>
      </c>
      <c r="B48" t="s">
        <v>89</v>
      </c>
      <c r="C48" t="str">
        <f t="shared" si="0"/>
        <v>Medications - Dose Unit of Measure</v>
      </c>
      <c r="D48" t="s">
        <v>8</v>
      </c>
      <c r="E48">
        <v>1023</v>
      </c>
      <c r="F48" t="s">
        <v>90</v>
      </c>
      <c r="G48" t="s">
        <v>91</v>
      </c>
    </row>
    <row r="49" spans="1:7" x14ac:dyDescent="0.35">
      <c r="A49" t="s">
        <v>84</v>
      </c>
      <c r="B49" t="s">
        <v>92</v>
      </c>
      <c r="C49" t="str">
        <f t="shared" si="0"/>
        <v>Medications - Indication</v>
      </c>
      <c r="D49" t="s">
        <v>8</v>
      </c>
      <c r="E49">
        <v>1104</v>
      </c>
      <c r="F49" t="s">
        <v>12</v>
      </c>
      <c r="G49" t="s">
        <v>93</v>
      </c>
    </row>
    <row r="50" spans="1:7" x14ac:dyDescent="0.35">
      <c r="A50" t="s">
        <v>84</v>
      </c>
      <c r="B50" t="s">
        <v>94</v>
      </c>
      <c r="C50" t="str">
        <f t="shared" si="0"/>
        <v>Medications - Fill Status</v>
      </c>
      <c r="D50" t="s">
        <v>8</v>
      </c>
      <c r="E50">
        <v>1123</v>
      </c>
      <c r="F50" t="s">
        <v>95</v>
      </c>
      <c r="G50" t="s">
        <v>82</v>
      </c>
    </row>
    <row r="51" spans="1:7" x14ac:dyDescent="0.35">
      <c r="A51" t="s">
        <v>96</v>
      </c>
      <c r="B51" t="s">
        <v>97</v>
      </c>
      <c r="C51" t="str">
        <f t="shared" si="0"/>
        <v>Patient Demographics/Information - Current Address</v>
      </c>
      <c r="D51" t="s">
        <v>8</v>
      </c>
      <c r="E51">
        <v>24</v>
      </c>
      <c r="F51" t="s">
        <v>98</v>
      </c>
      <c r="G51" t="s">
        <v>99</v>
      </c>
    </row>
    <row r="52" spans="1:7" x14ac:dyDescent="0.35">
      <c r="A52" t="s">
        <v>96</v>
      </c>
      <c r="B52" t="s">
        <v>100</v>
      </c>
      <c r="C52" t="str">
        <f t="shared" si="0"/>
        <v>Patient Demographics/Information - Date of Birth</v>
      </c>
      <c r="D52" t="s">
        <v>8</v>
      </c>
      <c r="E52">
        <v>36</v>
      </c>
      <c r="F52" t="s">
        <v>101</v>
      </c>
      <c r="G52">
        <v>19470501</v>
      </c>
    </row>
    <row r="53" spans="1:7" x14ac:dyDescent="0.35">
      <c r="A53" t="s">
        <v>96</v>
      </c>
      <c r="B53" t="s">
        <v>102</v>
      </c>
      <c r="C53" t="str">
        <f t="shared" si="0"/>
        <v>Patient Demographics/Information - Email Address</v>
      </c>
      <c r="D53" t="s">
        <v>241</v>
      </c>
    </row>
    <row r="54" spans="1:7" x14ac:dyDescent="0.35">
      <c r="A54" t="s">
        <v>96</v>
      </c>
      <c r="B54" t="s">
        <v>103</v>
      </c>
      <c r="C54" t="str">
        <f t="shared" si="0"/>
        <v>Patient Demographics/Information - Ethnicity</v>
      </c>
      <c r="D54" t="s">
        <v>8</v>
      </c>
      <c r="E54">
        <v>41</v>
      </c>
      <c r="F54" t="s">
        <v>104</v>
      </c>
      <c r="G54" t="s">
        <v>105</v>
      </c>
    </row>
    <row r="55" spans="1:7" x14ac:dyDescent="0.35">
      <c r="A55" t="s">
        <v>96</v>
      </c>
      <c r="B55" t="s">
        <v>106</v>
      </c>
      <c r="C55" t="str">
        <f t="shared" si="0"/>
        <v>Patient Demographics/Information - First Name</v>
      </c>
      <c r="D55" t="s">
        <v>8</v>
      </c>
      <c r="E55">
        <v>32</v>
      </c>
      <c r="F55" t="s">
        <v>107</v>
      </c>
      <c r="G55" t="s">
        <v>108</v>
      </c>
    </row>
    <row r="56" spans="1:7" x14ac:dyDescent="0.35">
      <c r="A56" t="s">
        <v>96</v>
      </c>
      <c r="B56" t="s">
        <v>109</v>
      </c>
      <c r="C56" t="str">
        <f t="shared" si="0"/>
        <v>Patient Demographics/Information - Gender Identity</v>
      </c>
      <c r="D56" t="s">
        <v>247</v>
      </c>
    </row>
    <row r="57" spans="1:7" x14ac:dyDescent="0.35">
      <c r="A57" t="s">
        <v>96</v>
      </c>
      <c r="B57" t="s">
        <v>110</v>
      </c>
      <c r="C57" t="str">
        <f t="shared" si="0"/>
        <v>Patient Demographics/Information - Last Name</v>
      </c>
      <c r="D57" t="s">
        <v>8</v>
      </c>
      <c r="E57">
        <v>33</v>
      </c>
      <c r="F57" t="s">
        <v>111</v>
      </c>
      <c r="G57" t="s">
        <v>112</v>
      </c>
    </row>
    <row r="58" spans="1:7" x14ac:dyDescent="0.35">
      <c r="A58" t="s">
        <v>96</v>
      </c>
      <c r="B58" t="s">
        <v>113</v>
      </c>
      <c r="C58" t="str">
        <f t="shared" si="0"/>
        <v>Patient Demographics/Information - Phone Number</v>
      </c>
      <c r="D58" t="s">
        <v>8</v>
      </c>
      <c r="E58">
        <v>29</v>
      </c>
      <c r="F58" t="s">
        <v>114</v>
      </c>
      <c r="G58" t="s">
        <v>115</v>
      </c>
    </row>
    <row r="59" spans="1:7" x14ac:dyDescent="0.35">
      <c r="A59" t="s">
        <v>96</v>
      </c>
      <c r="B59" t="s">
        <v>116</v>
      </c>
      <c r="C59" t="str">
        <f t="shared" si="0"/>
        <v>Patient Demographics/Information - Phone Number Type</v>
      </c>
      <c r="D59" t="s">
        <v>8</v>
      </c>
      <c r="E59">
        <v>29</v>
      </c>
      <c r="F59" t="s">
        <v>117</v>
      </c>
      <c r="G59" t="s">
        <v>118</v>
      </c>
    </row>
    <row r="60" spans="1:7" x14ac:dyDescent="0.35">
      <c r="A60" t="s">
        <v>96</v>
      </c>
      <c r="B60" t="s">
        <v>119</v>
      </c>
      <c r="C60" t="str">
        <f t="shared" si="0"/>
        <v>Patient Demographics/Information - Preferred Language</v>
      </c>
      <c r="D60" t="s">
        <v>8</v>
      </c>
      <c r="E60">
        <v>74</v>
      </c>
      <c r="F60" t="s">
        <v>120</v>
      </c>
      <c r="G60" t="s">
        <v>121</v>
      </c>
    </row>
    <row r="61" spans="1:7" x14ac:dyDescent="0.35">
      <c r="A61" t="s">
        <v>96</v>
      </c>
      <c r="B61" t="s">
        <v>122</v>
      </c>
      <c r="C61" t="str">
        <f t="shared" si="0"/>
        <v>Patient Demographics/Information - Previous Address</v>
      </c>
      <c r="D61" t="s">
        <v>243</v>
      </c>
    </row>
    <row r="62" spans="1:7" x14ac:dyDescent="0.35">
      <c r="A62" t="s">
        <v>96</v>
      </c>
      <c r="B62" t="s">
        <v>123</v>
      </c>
      <c r="C62" t="str">
        <f t="shared" si="0"/>
        <v>Patient Demographics/Information - Previous Name</v>
      </c>
      <c r="D62" t="s">
        <v>243</v>
      </c>
    </row>
    <row r="63" spans="1:7" x14ac:dyDescent="0.35">
      <c r="A63" t="s">
        <v>96</v>
      </c>
      <c r="B63" t="s">
        <v>124</v>
      </c>
      <c r="C63" t="str">
        <f t="shared" si="0"/>
        <v>Patient Demographics/Information - Race</v>
      </c>
      <c r="D63" t="s">
        <v>8</v>
      </c>
      <c r="E63">
        <v>39</v>
      </c>
      <c r="F63" t="s">
        <v>125</v>
      </c>
      <c r="G63" t="s">
        <v>126</v>
      </c>
    </row>
    <row r="64" spans="1:7" x14ac:dyDescent="0.35">
      <c r="A64" t="s">
        <v>96</v>
      </c>
      <c r="B64" t="s">
        <v>127</v>
      </c>
      <c r="C64" t="str">
        <f t="shared" si="0"/>
        <v>Patient Demographics/Information - Related Person's Name</v>
      </c>
      <c r="D64" t="s">
        <v>8</v>
      </c>
      <c r="E64">
        <v>56</v>
      </c>
      <c r="F64" t="s">
        <v>128</v>
      </c>
      <c r="G64" t="s">
        <v>129</v>
      </c>
    </row>
    <row r="65" spans="1:7" x14ac:dyDescent="0.35">
      <c r="A65" t="s">
        <v>96</v>
      </c>
      <c r="B65" t="s">
        <v>130</v>
      </c>
      <c r="C65" t="str">
        <f t="shared" si="0"/>
        <v>Patient Demographics/Information - Related Person's Relationship</v>
      </c>
      <c r="D65" t="s">
        <v>8</v>
      </c>
      <c r="E65">
        <v>45</v>
      </c>
      <c r="F65" t="s">
        <v>45</v>
      </c>
      <c r="G65" t="s">
        <v>131</v>
      </c>
    </row>
    <row r="66" spans="1:7" x14ac:dyDescent="0.35">
      <c r="A66" t="s">
        <v>96</v>
      </c>
      <c r="B66" t="s">
        <v>132</v>
      </c>
      <c r="C66" t="str">
        <f t="shared" si="0"/>
        <v>Patient Demographics/Information - Sex</v>
      </c>
      <c r="D66" t="s">
        <v>8</v>
      </c>
      <c r="E66">
        <v>35</v>
      </c>
      <c r="F66" t="s">
        <v>133</v>
      </c>
      <c r="G66" t="s">
        <v>134</v>
      </c>
    </row>
    <row r="67" spans="1:7" x14ac:dyDescent="0.35">
      <c r="A67" t="s">
        <v>96</v>
      </c>
      <c r="B67" t="s">
        <v>135</v>
      </c>
      <c r="C67" t="str">
        <f t="shared" ref="C67:C97" si="1">A67&amp;" - "&amp;B67</f>
        <v>Patient Demographics/Information - Sex Parameter for Clinical Use</v>
      </c>
      <c r="D67" t="s">
        <v>247</v>
      </c>
    </row>
    <row r="68" spans="1:7" x14ac:dyDescent="0.35">
      <c r="A68" t="s">
        <v>96</v>
      </c>
      <c r="B68" t="s">
        <v>136</v>
      </c>
      <c r="C68" t="str">
        <f t="shared" si="1"/>
        <v>Patient Demographics/Information - Sexual Orientation</v>
      </c>
      <c r="D68" t="s">
        <v>247</v>
      </c>
    </row>
    <row r="69" spans="1:7" x14ac:dyDescent="0.35">
      <c r="A69" t="s">
        <v>96</v>
      </c>
      <c r="B69" t="s">
        <v>137</v>
      </c>
      <c r="C69" t="str">
        <f t="shared" si="1"/>
        <v>Patient Demographics/Information - Suffix</v>
      </c>
      <c r="D69" t="s">
        <v>241</v>
      </c>
    </row>
    <row r="70" spans="1:7" x14ac:dyDescent="0.35">
      <c r="A70" t="s">
        <v>96</v>
      </c>
      <c r="B70" t="s">
        <v>138</v>
      </c>
      <c r="C70" t="str">
        <f t="shared" si="1"/>
        <v>Patient Demographics/Information - Tribal Affiliation</v>
      </c>
      <c r="D70" t="s">
        <v>243</v>
      </c>
    </row>
    <row r="71" spans="1:7" x14ac:dyDescent="0.35">
      <c r="A71" t="s">
        <v>139</v>
      </c>
      <c r="B71" t="s">
        <v>139</v>
      </c>
      <c r="C71" t="str">
        <f t="shared" si="1"/>
        <v>Problems - Problems</v>
      </c>
      <c r="D71" t="s">
        <v>8</v>
      </c>
      <c r="E71">
        <v>324</v>
      </c>
      <c r="F71" t="s">
        <v>12</v>
      </c>
      <c r="G71" t="s">
        <v>140</v>
      </c>
    </row>
    <row r="72" spans="1:7" x14ac:dyDescent="0.35">
      <c r="A72" t="s">
        <v>139</v>
      </c>
      <c r="B72" t="s">
        <v>141</v>
      </c>
      <c r="C72" t="str">
        <f t="shared" si="1"/>
        <v>Problems - Date of Diagnosis</v>
      </c>
      <c r="D72" t="s">
        <v>8</v>
      </c>
      <c r="E72">
        <v>624</v>
      </c>
      <c r="F72" t="s">
        <v>27</v>
      </c>
      <c r="G72" t="s">
        <v>142</v>
      </c>
    </row>
    <row r="73" spans="1:7" x14ac:dyDescent="0.35">
      <c r="A73" t="s">
        <v>139</v>
      </c>
      <c r="B73" t="s">
        <v>143</v>
      </c>
      <c r="C73" t="str">
        <f t="shared" si="1"/>
        <v>Problems - Date of Resolution</v>
      </c>
      <c r="D73" t="s">
        <v>8</v>
      </c>
      <c r="E73">
        <v>515</v>
      </c>
      <c r="F73" t="s">
        <v>144</v>
      </c>
      <c r="G73" t="s">
        <v>145</v>
      </c>
    </row>
    <row r="74" spans="1:7" x14ac:dyDescent="0.35">
      <c r="A74" t="s">
        <v>146</v>
      </c>
      <c r="B74" t="s">
        <v>146</v>
      </c>
      <c r="C74" t="str">
        <f t="shared" si="1"/>
        <v>Procedures - Procedures</v>
      </c>
      <c r="D74" t="s">
        <v>8</v>
      </c>
      <c r="E74">
        <v>1323</v>
      </c>
      <c r="F74" t="s">
        <v>147</v>
      </c>
      <c r="G74" t="s">
        <v>148</v>
      </c>
    </row>
    <row r="75" spans="1:7" x14ac:dyDescent="0.35">
      <c r="A75" t="s">
        <v>146</v>
      </c>
      <c r="B75" t="s">
        <v>149</v>
      </c>
      <c r="C75" t="str">
        <f t="shared" si="1"/>
        <v>Procedures - SDOH Interventions</v>
      </c>
      <c r="D75" t="s">
        <v>8</v>
      </c>
      <c r="E75">
        <v>1526</v>
      </c>
      <c r="F75" t="s">
        <v>147</v>
      </c>
      <c r="G75" t="s">
        <v>150</v>
      </c>
    </row>
    <row r="76" spans="1:7" x14ac:dyDescent="0.35">
      <c r="A76" t="s">
        <v>146</v>
      </c>
      <c r="B76" t="s">
        <v>151</v>
      </c>
      <c r="C76" t="str">
        <f t="shared" si="1"/>
        <v>Procedures - Performance Time</v>
      </c>
      <c r="D76" t="s">
        <v>8</v>
      </c>
      <c r="E76">
        <v>1332</v>
      </c>
      <c r="F76" t="s">
        <v>42</v>
      </c>
      <c r="G76" t="s">
        <v>152</v>
      </c>
    </row>
    <row r="77" spans="1:7" x14ac:dyDescent="0.35">
      <c r="A77" t="s">
        <v>146</v>
      </c>
      <c r="B77" t="s">
        <v>153</v>
      </c>
      <c r="C77" t="str">
        <f t="shared" si="1"/>
        <v>Procedures - Reason for Referral</v>
      </c>
      <c r="D77" t="s">
        <v>243</v>
      </c>
    </row>
    <row r="78" spans="1:7" x14ac:dyDescent="0.35">
      <c r="A78" t="s">
        <v>154</v>
      </c>
      <c r="B78" t="s">
        <v>155</v>
      </c>
      <c r="C78" t="str">
        <f t="shared" si="1"/>
        <v>Provenance - Author</v>
      </c>
      <c r="D78" t="s">
        <v>8</v>
      </c>
      <c r="E78">
        <v>108</v>
      </c>
      <c r="F78" t="s">
        <v>156</v>
      </c>
      <c r="G78" t="s">
        <v>157</v>
      </c>
    </row>
    <row r="79" spans="1:7" x14ac:dyDescent="0.35">
      <c r="A79" t="s">
        <v>154</v>
      </c>
      <c r="B79" t="s">
        <v>158</v>
      </c>
      <c r="C79" t="str">
        <f t="shared" si="1"/>
        <v>Provenance - Author Organization</v>
      </c>
      <c r="D79" t="s">
        <v>8</v>
      </c>
      <c r="E79">
        <v>82</v>
      </c>
      <c r="F79" t="s">
        <v>159</v>
      </c>
      <c r="G79" t="s">
        <v>160</v>
      </c>
    </row>
    <row r="80" spans="1:7" x14ac:dyDescent="0.35">
      <c r="A80" t="s">
        <v>154</v>
      </c>
      <c r="B80" t="s">
        <v>161</v>
      </c>
      <c r="C80" t="str">
        <f t="shared" si="1"/>
        <v>Provenance - Author Role</v>
      </c>
      <c r="D80" t="s">
        <v>8</v>
      </c>
      <c r="E80">
        <v>98</v>
      </c>
      <c r="F80" t="s">
        <v>45</v>
      </c>
      <c r="G80" t="s">
        <v>162</v>
      </c>
    </row>
    <row r="81" spans="1:7" x14ac:dyDescent="0.35">
      <c r="A81" t="s">
        <v>154</v>
      </c>
      <c r="B81" t="s">
        <v>163</v>
      </c>
      <c r="C81" t="str">
        <f t="shared" si="1"/>
        <v>Provenance - Author Time Stamp</v>
      </c>
      <c r="D81" t="s">
        <v>8</v>
      </c>
      <c r="E81">
        <v>94</v>
      </c>
      <c r="F81" t="s">
        <v>164</v>
      </c>
      <c r="G81" t="s">
        <v>165</v>
      </c>
    </row>
    <row r="82" spans="1:7" x14ac:dyDescent="0.35">
      <c r="A82" t="s">
        <v>166</v>
      </c>
      <c r="B82" t="s">
        <v>166</v>
      </c>
      <c r="C82" t="str">
        <f t="shared" si="1"/>
        <v>Smoking Status - Smoking Status</v>
      </c>
      <c r="D82" t="s">
        <v>8</v>
      </c>
      <c r="E82">
        <v>1850</v>
      </c>
      <c r="F82" t="s">
        <v>12</v>
      </c>
      <c r="G82" t="s">
        <v>167</v>
      </c>
    </row>
    <row r="83" spans="1:7" x14ac:dyDescent="0.35">
      <c r="A83" t="s">
        <v>166</v>
      </c>
      <c r="B83" t="s">
        <v>168</v>
      </c>
      <c r="C83" t="str">
        <f t="shared" si="1"/>
        <v>Smoking Status - Substance Use</v>
      </c>
      <c r="D83" t="s">
        <v>242</v>
      </c>
    </row>
    <row r="84" spans="1:7" x14ac:dyDescent="0.35">
      <c r="A84" t="s">
        <v>169</v>
      </c>
      <c r="B84" t="s">
        <v>170</v>
      </c>
      <c r="C84" t="str">
        <f t="shared" si="1"/>
        <v>Unique Device Identifier(s) - UDI</v>
      </c>
      <c r="D84" t="s">
        <v>8</v>
      </c>
      <c r="E84">
        <v>1444</v>
      </c>
      <c r="F84" t="s">
        <v>9</v>
      </c>
      <c r="G84" t="s">
        <v>171</v>
      </c>
    </row>
    <row r="85" spans="1:7" x14ac:dyDescent="0.35">
      <c r="A85" t="s">
        <v>172</v>
      </c>
      <c r="B85" t="s">
        <v>173</v>
      </c>
      <c r="C85" t="str">
        <f t="shared" si="1"/>
        <v>Vital Signs - BMI</v>
      </c>
      <c r="D85" t="s">
        <v>241</v>
      </c>
    </row>
    <row r="86" spans="1:7" x14ac:dyDescent="0.35">
      <c r="A86" t="s">
        <v>172</v>
      </c>
      <c r="B86" t="s">
        <v>174</v>
      </c>
      <c r="C86" t="str">
        <f t="shared" si="1"/>
        <v>Vital Signs - Blood Pressure (Diastolic)</v>
      </c>
      <c r="D86" t="s">
        <v>241</v>
      </c>
    </row>
    <row r="87" spans="1:7" x14ac:dyDescent="0.35">
      <c r="A87" t="s">
        <v>172</v>
      </c>
      <c r="B87" t="s">
        <v>175</v>
      </c>
      <c r="C87" t="str">
        <f t="shared" si="1"/>
        <v>Vital Signs - Blood Pressure (Systolic)</v>
      </c>
      <c r="D87" t="s">
        <v>241</v>
      </c>
    </row>
    <row r="88" spans="1:7" x14ac:dyDescent="0.35">
      <c r="A88" t="s">
        <v>172</v>
      </c>
      <c r="B88" t="s">
        <v>176</v>
      </c>
      <c r="C88" t="str">
        <f t="shared" si="1"/>
        <v>Vital Signs - Body Height</v>
      </c>
      <c r="D88" t="s">
        <v>241</v>
      </c>
    </row>
    <row r="89" spans="1:7" x14ac:dyDescent="0.35">
      <c r="A89" t="s">
        <v>172</v>
      </c>
      <c r="B89" t="s">
        <v>177</v>
      </c>
      <c r="C89" t="str">
        <f t="shared" si="1"/>
        <v>Vital Signs - Body Temperature</v>
      </c>
      <c r="D89" t="s">
        <v>241</v>
      </c>
    </row>
    <row r="90" spans="1:7" x14ac:dyDescent="0.35">
      <c r="A90" t="s">
        <v>172</v>
      </c>
      <c r="B90" t="s">
        <v>178</v>
      </c>
      <c r="C90" t="str">
        <f t="shared" si="1"/>
        <v>Vital Signs - Body Weight</v>
      </c>
      <c r="D90" t="s">
        <v>241</v>
      </c>
    </row>
    <row r="91" spans="1:7" x14ac:dyDescent="0.35">
      <c r="A91" t="s">
        <v>172</v>
      </c>
      <c r="B91" t="s">
        <v>179</v>
      </c>
      <c r="C91" t="str">
        <f t="shared" si="1"/>
        <v>Vital Signs - Heart Rate</v>
      </c>
      <c r="D91" t="s">
        <v>241</v>
      </c>
      <c r="E91">
        <v>2114</v>
      </c>
      <c r="F91" t="s">
        <v>12</v>
      </c>
      <c r="G91" t="s">
        <v>180</v>
      </c>
    </row>
    <row r="92" spans="1:7" x14ac:dyDescent="0.35">
      <c r="A92" t="s">
        <v>172</v>
      </c>
      <c r="B92" t="s">
        <v>181</v>
      </c>
      <c r="C92" t="str">
        <f t="shared" si="1"/>
        <v>Vital Signs - Inhaled Oxygen Concentration</v>
      </c>
      <c r="D92" t="s">
        <v>241</v>
      </c>
    </row>
    <row r="93" spans="1:7" x14ac:dyDescent="0.35">
      <c r="A93" t="s">
        <v>172</v>
      </c>
      <c r="B93" t="s">
        <v>182</v>
      </c>
      <c r="C93" t="str">
        <f t="shared" si="1"/>
        <v>Vital Signs - Pediatric BMI for Age</v>
      </c>
      <c r="D93" t="s">
        <v>241</v>
      </c>
    </row>
    <row r="94" spans="1:7" x14ac:dyDescent="0.35">
      <c r="A94" t="s">
        <v>172</v>
      </c>
      <c r="B94" t="s">
        <v>183</v>
      </c>
      <c r="C94" t="str">
        <f t="shared" si="1"/>
        <v>Vital Signs - Pediatric Head Circumference</v>
      </c>
      <c r="D94" t="s">
        <v>241</v>
      </c>
    </row>
    <row r="95" spans="1:7" x14ac:dyDescent="0.35">
      <c r="A95" t="s">
        <v>172</v>
      </c>
      <c r="B95" t="s">
        <v>184</v>
      </c>
      <c r="C95" t="str">
        <f t="shared" si="1"/>
        <v>Vital Signs - Pediatric Weight for Height</v>
      </c>
      <c r="D95" t="s">
        <v>241</v>
      </c>
    </row>
    <row r="96" spans="1:7" x14ac:dyDescent="0.35">
      <c r="A96" t="s">
        <v>172</v>
      </c>
      <c r="B96" t="s">
        <v>185</v>
      </c>
      <c r="C96" t="str">
        <f t="shared" si="1"/>
        <v>Vital Signs - Pulse Oximetry</v>
      </c>
      <c r="D96" t="s">
        <v>241</v>
      </c>
    </row>
    <row r="97" spans="1:4" x14ac:dyDescent="0.35">
      <c r="A97" t="s">
        <v>172</v>
      </c>
      <c r="B97" t="s">
        <v>186</v>
      </c>
      <c r="C97" t="str">
        <f t="shared" si="1"/>
        <v>Vital Signs - Respiratory Rate</v>
      </c>
      <c r="D97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0803-C6D0-4941-8F3C-8CF7B7FD09A5}">
  <dimension ref="A1:G97"/>
  <sheetViews>
    <sheetView tabSelected="1" workbookViewId="0">
      <pane ySplit="1" topLeftCell="A8" activePane="bottomLeft" state="frozen"/>
      <selection pane="bottomLeft" activeCell="C14" sqref="C14"/>
    </sheetView>
  </sheetViews>
  <sheetFormatPr defaultRowHeight="14.5" x14ac:dyDescent="0.35"/>
  <cols>
    <col min="1" max="2" width="29" bestFit="1" customWidth="1"/>
    <col min="3" max="3" width="29" style="3" customWidth="1"/>
    <col min="4" max="4" width="10.90625" bestFit="1" customWidth="1"/>
    <col min="5" max="5" width="11" bestFit="1" customWidth="1"/>
    <col min="6" max="6" width="26.54296875" bestFit="1" customWidth="1"/>
    <col min="7" max="7" width="59.6328125" bestFit="1" customWidth="1"/>
  </cols>
  <sheetData>
    <row r="1" spans="1:7" s="1" customFormat="1" x14ac:dyDescent="0.35">
      <c r="A1" s="1" t="s">
        <v>0</v>
      </c>
      <c r="B1" s="1" t="s">
        <v>1</v>
      </c>
      <c r="C1" s="2" t="s">
        <v>248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7</v>
      </c>
      <c r="C2" s="3" t="str">
        <f>VLOOKUP(A2&amp;" - "&amp;B2,name6a,2,FALSE)</f>
        <v>Yes</v>
      </c>
      <c r="D2" t="s">
        <v>8</v>
      </c>
      <c r="E2">
        <v>782</v>
      </c>
      <c r="F2" t="s">
        <v>9</v>
      </c>
      <c r="G2" t="s">
        <v>10</v>
      </c>
    </row>
    <row r="3" spans="1:7" x14ac:dyDescent="0.35">
      <c r="A3" t="s">
        <v>6</v>
      </c>
      <c r="B3" t="s">
        <v>11</v>
      </c>
      <c r="C3" s="3" t="str">
        <f>VLOOKUP(A3&amp;" - "&amp;B3,name6a,2,FALSE)</f>
        <v>Yes</v>
      </c>
      <c r="D3" t="s">
        <v>8</v>
      </c>
      <c r="E3">
        <v>802</v>
      </c>
      <c r="F3" t="s">
        <v>12</v>
      </c>
      <c r="G3" t="s">
        <v>13</v>
      </c>
    </row>
    <row r="4" spans="1:7" x14ac:dyDescent="0.35">
      <c r="A4" t="s">
        <v>14</v>
      </c>
      <c r="B4" t="s">
        <v>14</v>
      </c>
      <c r="C4" s="3" t="str">
        <f>VLOOKUP(A4&amp;" - "&amp;B4,name6a,2,FALSE)</f>
        <v>Yes</v>
      </c>
      <c r="D4" t="s">
        <v>8</v>
      </c>
      <c r="E4">
        <v>1921</v>
      </c>
      <c r="F4" t="s">
        <v>15</v>
      </c>
      <c r="G4" t="s">
        <v>16</v>
      </c>
    </row>
    <row r="5" spans="1:7" x14ac:dyDescent="0.35">
      <c r="A5" t="s">
        <v>14</v>
      </c>
      <c r="B5" t="s">
        <v>17</v>
      </c>
      <c r="C5" s="3" t="str">
        <f>VLOOKUP(A5&amp;" - "&amp;B5,name6a,2,FALSE)</f>
        <v>Yes</v>
      </c>
      <c r="D5" t="s">
        <v>8</v>
      </c>
      <c r="E5">
        <v>601</v>
      </c>
      <c r="F5" t="s">
        <v>12</v>
      </c>
      <c r="G5" t="s">
        <v>18</v>
      </c>
    </row>
    <row r="6" spans="1:7" x14ac:dyDescent="0.35">
      <c r="A6" t="s">
        <v>19</v>
      </c>
      <c r="B6" t="s">
        <v>20</v>
      </c>
      <c r="C6" s="3" t="str">
        <f>VLOOKUP(A6&amp;" - "&amp;B6,name6a,2,FALSE)</f>
        <v>To do</v>
      </c>
      <c r="D6" t="s">
        <v>8</v>
      </c>
      <c r="E6">
        <v>2731</v>
      </c>
      <c r="F6" t="s">
        <v>156</v>
      </c>
      <c r="G6" t="s">
        <v>240</v>
      </c>
    </row>
    <row r="7" spans="1:7" x14ac:dyDescent="0.35">
      <c r="A7" t="s">
        <v>19</v>
      </c>
      <c r="B7" t="s">
        <v>21</v>
      </c>
      <c r="C7" s="3" t="str">
        <f>VLOOKUP(A7&amp;" - "&amp;B7,name6a,2,FALSE)</f>
        <v>To do</v>
      </c>
      <c r="D7" t="s">
        <v>8</v>
      </c>
      <c r="E7">
        <v>2754</v>
      </c>
      <c r="F7" t="s">
        <v>239</v>
      </c>
      <c r="G7" t="s">
        <v>238</v>
      </c>
    </row>
    <row r="8" spans="1:7" x14ac:dyDescent="0.35">
      <c r="A8" t="s">
        <v>19</v>
      </c>
      <c r="B8" t="s">
        <v>22</v>
      </c>
      <c r="C8" s="3" t="str">
        <f>VLOOKUP(A8&amp;" - "&amp;B8,name6a,2,FALSE)</f>
        <v>To do</v>
      </c>
      <c r="D8" t="s">
        <v>8</v>
      </c>
      <c r="E8">
        <v>2757</v>
      </c>
      <c r="F8" t="s">
        <v>98</v>
      </c>
      <c r="G8" t="s">
        <v>237</v>
      </c>
    </row>
    <row r="9" spans="1:7" x14ac:dyDescent="0.35">
      <c r="A9" t="s">
        <v>19</v>
      </c>
      <c r="B9" t="s">
        <v>23</v>
      </c>
      <c r="C9" s="3" t="str">
        <f>VLOOKUP(A9&amp;" - "&amp;B9,name6a,2,FALSE)</f>
        <v>To do</v>
      </c>
      <c r="D9" t="s">
        <v>8</v>
      </c>
      <c r="E9">
        <v>2762</v>
      </c>
      <c r="F9" t="s">
        <v>114</v>
      </c>
      <c r="G9" t="s">
        <v>236</v>
      </c>
    </row>
    <row r="10" spans="1:7" x14ac:dyDescent="0.35">
      <c r="A10" t="s">
        <v>19</v>
      </c>
      <c r="B10" t="s">
        <v>24</v>
      </c>
      <c r="C10" s="3" t="str">
        <f>VLOOKUP(A10&amp;" - "&amp;B10,name6a,2,FALSE)</f>
        <v>To do</v>
      </c>
      <c r="D10" t="s">
        <v>8</v>
      </c>
      <c r="E10">
        <v>2755</v>
      </c>
      <c r="F10" t="s">
        <v>45</v>
      </c>
      <c r="G10" t="s">
        <v>235</v>
      </c>
    </row>
    <row r="11" spans="1:7" x14ac:dyDescent="0.35">
      <c r="A11" t="s">
        <v>25</v>
      </c>
      <c r="B11" t="s">
        <v>26</v>
      </c>
      <c r="C11" s="3" t="str">
        <f>VLOOKUP(A11&amp;" - "&amp;B11,name6a,2,FALSE)</f>
        <v>Yes</v>
      </c>
      <c r="D11" t="s">
        <v>8</v>
      </c>
      <c r="E11">
        <v>2522</v>
      </c>
      <c r="F11" t="s">
        <v>27</v>
      </c>
      <c r="G11" t="s">
        <v>28</v>
      </c>
    </row>
    <row r="12" spans="1:7" x14ac:dyDescent="0.35">
      <c r="A12" t="s">
        <v>25</v>
      </c>
      <c r="B12" t="s">
        <v>29</v>
      </c>
      <c r="C12" s="3" t="str">
        <f>VLOOKUP(A12&amp;" - "&amp;B12,name6a,2,FALSE)</f>
        <v>Note - no need for example</v>
      </c>
      <c r="D12" t="s">
        <v>8</v>
      </c>
      <c r="E12">
        <v>2553</v>
      </c>
      <c r="F12" t="s">
        <v>27</v>
      </c>
      <c r="G12" t="s">
        <v>234</v>
      </c>
    </row>
    <row r="13" spans="1:7" x14ac:dyDescent="0.35">
      <c r="A13" t="s">
        <v>25</v>
      </c>
      <c r="B13" t="s">
        <v>30</v>
      </c>
      <c r="C13" s="3" t="str">
        <f>VLOOKUP(A13&amp;" - "&amp;B13,name6a,2,FALSE)</f>
        <v>Note - no need for example</v>
      </c>
      <c r="D13" t="s">
        <v>8</v>
      </c>
      <c r="E13">
        <v>2573</v>
      </c>
      <c r="F13" t="s">
        <v>27</v>
      </c>
      <c r="G13" t="s">
        <v>233</v>
      </c>
    </row>
    <row r="14" spans="1:7" x14ac:dyDescent="0.35">
      <c r="A14" t="s">
        <v>25</v>
      </c>
      <c r="B14" t="s">
        <v>31</v>
      </c>
      <c r="C14" s="3" t="str">
        <f>VLOOKUP(A14&amp;" - "&amp;B14,name6a,2,FALSE)</f>
        <v>Note - no need for example</v>
      </c>
      <c r="D14" t="s">
        <v>8</v>
      </c>
      <c r="E14">
        <v>2593</v>
      </c>
      <c r="F14" t="s">
        <v>27</v>
      </c>
      <c r="G14" t="s">
        <v>232</v>
      </c>
    </row>
    <row r="15" spans="1:7" x14ac:dyDescent="0.35">
      <c r="A15" t="s">
        <v>25</v>
      </c>
      <c r="B15" t="s">
        <v>32</v>
      </c>
      <c r="C15" s="3" t="str">
        <f>VLOOKUP(A15&amp;" - "&amp;B15,name6a,2,FALSE)</f>
        <v>Note - no need for example</v>
      </c>
      <c r="D15" t="s">
        <v>8</v>
      </c>
      <c r="E15">
        <v>2613</v>
      </c>
      <c r="F15" t="s">
        <v>27</v>
      </c>
      <c r="G15" t="s">
        <v>231</v>
      </c>
    </row>
    <row r="16" spans="1:7" x14ac:dyDescent="0.35">
      <c r="A16" t="s">
        <v>25</v>
      </c>
      <c r="B16" t="s">
        <v>33</v>
      </c>
      <c r="C16" s="3" t="str">
        <f>VLOOKUP(A16&amp;" - "&amp;B16,name6a,2,FALSE)</f>
        <v>Note - no need for example</v>
      </c>
      <c r="D16" t="s">
        <v>8</v>
      </c>
      <c r="E16">
        <v>2633</v>
      </c>
      <c r="F16" t="s">
        <v>27</v>
      </c>
      <c r="G16" t="s">
        <v>230</v>
      </c>
    </row>
    <row r="17" spans="1:7" x14ac:dyDescent="0.35">
      <c r="A17" t="s">
        <v>25</v>
      </c>
      <c r="B17" t="s">
        <v>34</v>
      </c>
      <c r="C17" s="3" t="str">
        <f>VLOOKUP(A17&amp;" - "&amp;B17,name6a,2,FALSE)</f>
        <v>Note - no need for example</v>
      </c>
      <c r="D17" t="s">
        <v>8</v>
      </c>
      <c r="E17">
        <v>2653</v>
      </c>
      <c r="F17" t="s">
        <v>27</v>
      </c>
      <c r="G17" t="s">
        <v>229</v>
      </c>
    </row>
    <row r="18" spans="1:7" x14ac:dyDescent="0.35">
      <c r="A18" t="s">
        <v>25</v>
      </c>
      <c r="B18" t="s">
        <v>35</v>
      </c>
      <c r="C18" s="3" t="str">
        <f>VLOOKUP(A18&amp;" - "&amp;B18,name6a,2,FALSE)</f>
        <v>Note - no need for example</v>
      </c>
      <c r="D18" t="s">
        <v>8</v>
      </c>
      <c r="E18">
        <v>2673</v>
      </c>
      <c r="F18" t="s">
        <v>27</v>
      </c>
      <c r="G18" t="s">
        <v>228</v>
      </c>
    </row>
    <row r="19" spans="1:7" x14ac:dyDescent="0.35">
      <c r="A19" t="s">
        <v>36</v>
      </c>
      <c r="B19" t="s">
        <v>37</v>
      </c>
      <c r="C19" s="3" t="str">
        <f>VLOOKUP(A19&amp;" - "&amp;B19,name6a,2,FALSE)</f>
        <v>Yes</v>
      </c>
      <c r="D19" t="s">
        <v>8</v>
      </c>
      <c r="E19">
        <v>2428</v>
      </c>
      <c r="F19" t="s">
        <v>12</v>
      </c>
      <c r="G19" t="s">
        <v>38</v>
      </c>
    </row>
    <row r="20" spans="1:7" x14ac:dyDescent="0.35">
      <c r="A20" t="s">
        <v>36</v>
      </c>
      <c r="B20" t="s">
        <v>39</v>
      </c>
      <c r="C20" s="3" t="str">
        <f>VLOOKUP(A20&amp;" - "&amp;B20,name6a,2,FALSE)</f>
        <v>To do</v>
      </c>
      <c r="D20" t="s">
        <v>8</v>
      </c>
      <c r="E20">
        <v>2373</v>
      </c>
      <c r="F20" t="s">
        <v>227</v>
      </c>
      <c r="G20" t="s">
        <v>226</v>
      </c>
    </row>
    <row r="21" spans="1:7" x14ac:dyDescent="0.35">
      <c r="A21" t="s">
        <v>36</v>
      </c>
      <c r="B21" t="s">
        <v>40</v>
      </c>
      <c r="C21" s="3" t="str">
        <f>VLOOKUP(A21&amp;" - "&amp;B21,name6a,2,FALSE)</f>
        <v>To do</v>
      </c>
      <c r="D21" t="s">
        <v>8</v>
      </c>
      <c r="E21">
        <v>2325</v>
      </c>
      <c r="F21" t="s">
        <v>225</v>
      </c>
      <c r="G21" t="s">
        <v>224</v>
      </c>
    </row>
    <row r="22" spans="1:7" x14ac:dyDescent="0.35">
      <c r="A22" t="s">
        <v>36</v>
      </c>
      <c r="B22" t="s">
        <v>41</v>
      </c>
      <c r="C22" s="3" t="str">
        <f>VLOOKUP(A22&amp;" - "&amp;B22,name6a,2,FALSE)</f>
        <v>Yes</v>
      </c>
      <c r="D22" t="s">
        <v>8</v>
      </c>
      <c r="E22">
        <v>2352</v>
      </c>
      <c r="F22" t="s">
        <v>42</v>
      </c>
      <c r="G22" t="s">
        <v>43</v>
      </c>
    </row>
    <row r="23" spans="1:7" x14ac:dyDescent="0.35">
      <c r="A23" t="s">
        <v>36</v>
      </c>
      <c r="B23" t="s">
        <v>44</v>
      </c>
      <c r="C23" s="3" t="str">
        <f>VLOOKUP(A23&amp;" - "&amp;B23,name6a,2,FALSE)</f>
        <v>Yes</v>
      </c>
      <c r="D23" t="s">
        <v>8</v>
      </c>
      <c r="E23">
        <v>2343</v>
      </c>
      <c r="F23" t="s">
        <v>45</v>
      </c>
      <c r="G23" t="s">
        <v>46</v>
      </c>
    </row>
    <row r="24" spans="1:7" x14ac:dyDescent="0.35">
      <c r="A24" t="s">
        <v>47</v>
      </c>
      <c r="B24" t="s">
        <v>48</v>
      </c>
      <c r="C24" s="3" t="str">
        <f>VLOOKUP(A24&amp;" - "&amp;B24,name6a,2,FALSE)</f>
        <v>Yes</v>
      </c>
      <c r="D24" t="s">
        <v>8</v>
      </c>
      <c r="E24">
        <v>1962</v>
      </c>
      <c r="F24" t="s">
        <v>12</v>
      </c>
      <c r="G24" t="s">
        <v>49</v>
      </c>
    </row>
    <row r="25" spans="1:7" x14ac:dyDescent="0.35">
      <c r="A25" t="s">
        <v>47</v>
      </c>
      <c r="B25" t="s">
        <v>50</v>
      </c>
      <c r="C25" s="3" t="str">
        <f>VLOOKUP(A25&amp;" - "&amp;B25,name6a,2,FALSE)</f>
        <v>To do</v>
      </c>
      <c r="D25" t="s">
        <v>8</v>
      </c>
      <c r="E25">
        <v>1996</v>
      </c>
      <c r="F25" t="s">
        <v>12</v>
      </c>
      <c r="G25" t="s">
        <v>223</v>
      </c>
    </row>
    <row r="26" spans="1:7" x14ac:dyDescent="0.35">
      <c r="A26" t="s">
        <v>51</v>
      </c>
      <c r="B26" t="s">
        <v>51</v>
      </c>
      <c r="C26" s="3" t="str">
        <f>VLOOKUP(A26&amp;" - "&amp;B26,name6a,2,FALSE)</f>
        <v>tbd</v>
      </c>
      <c r="D26" t="s">
        <v>8</v>
      </c>
      <c r="E26">
        <v>2694</v>
      </c>
      <c r="F26" t="s">
        <v>222</v>
      </c>
      <c r="G26" t="s">
        <v>221</v>
      </c>
    </row>
    <row r="27" spans="1:7" x14ac:dyDescent="0.35">
      <c r="A27" t="s">
        <v>51</v>
      </c>
      <c r="B27" t="s">
        <v>52</v>
      </c>
      <c r="C27" s="3" t="str">
        <f>VLOOKUP(A27&amp;" - "&amp;B27,name6a,2,FALSE)</f>
        <v>Yes</v>
      </c>
      <c r="D27" t="s">
        <v>8</v>
      </c>
      <c r="E27">
        <v>593</v>
      </c>
      <c r="F27" t="s">
        <v>12</v>
      </c>
      <c r="G27" t="s">
        <v>53</v>
      </c>
    </row>
    <row r="28" spans="1:7" x14ac:dyDescent="0.35">
      <c r="A28" t="s">
        <v>54</v>
      </c>
      <c r="B28" t="s">
        <v>55</v>
      </c>
      <c r="C28" s="3" t="str">
        <f>VLOOKUP(A28&amp;" - "&amp;B28,name6a,2,FALSE)</f>
        <v>To do</v>
      </c>
      <c r="D28" t="s">
        <v>8</v>
      </c>
      <c r="E28">
        <v>2802</v>
      </c>
      <c r="F28" t="s">
        <v>81</v>
      </c>
      <c r="G28" t="s">
        <v>220</v>
      </c>
    </row>
    <row r="29" spans="1:7" x14ac:dyDescent="0.35">
      <c r="A29" t="s">
        <v>54</v>
      </c>
      <c r="B29" t="s">
        <v>56</v>
      </c>
      <c r="C29" s="3" t="str">
        <f>VLOOKUP(A29&amp;" - "&amp;B29,name6a,2,FALSE)</f>
        <v>To do</v>
      </c>
      <c r="D29" t="s">
        <v>8</v>
      </c>
      <c r="E29">
        <v>2790</v>
      </c>
      <c r="F29" t="s">
        <v>45</v>
      </c>
      <c r="G29" t="s">
        <v>219</v>
      </c>
    </row>
    <row r="30" spans="1:7" x14ac:dyDescent="0.35">
      <c r="A30" t="s">
        <v>54</v>
      </c>
      <c r="B30" t="s">
        <v>57</v>
      </c>
      <c r="C30" s="3" t="str">
        <f>VLOOKUP(A30&amp;" - "&amp;B30,name6a,2,FALSE)</f>
        <v>To do</v>
      </c>
      <c r="D30" t="s">
        <v>8</v>
      </c>
      <c r="E30">
        <v>2792</v>
      </c>
      <c r="F30" t="s">
        <v>215</v>
      </c>
      <c r="G30" t="s">
        <v>218</v>
      </c>
    </row>
    <row r="31" spans="1:7" x14ac:dyDescent="0.35">
      <c r="A31" t="s">
        <v>54</v>
      </c>
      <c r="B31" t="s">
        <v>58</v>
      </c>
      <c r="C31" s="3" t="str">
        <f>VLOOKUP(A31&amp;" - "&amp;B31,name6a,2,FALSE)</f>
        <v>To do</v>
      </c>
      <c r="D31" t="s">
        <v>8</v>
      </c>
      <c r="E31">
        <v>2791</v>
      </c>
      <c r="F31" t="s">
        <v>215</v>
      </c>
      <c r="G31" t="s">
        <v>214</v>
      </c>
    </row>
    <row r="32" spans="1:7" x14ac:dyDescent="0.35">
      <c r="A32" t="s">
        <v>54</v>
      </c>
      <c r="B32" t="s">
        <v>59</v>
      </c>
      <c r="C32" s="3" t="str">
        <f>VLOOKUP(A32&amp;" - "&amp;B32,name6a,2,FALSE)</f>
        <v>To do</v>
      </c>
      <c r="D32" t="s">
        <v>8</v>
      </c>
      <c r="E32">
        <v>2811</v>
      </c>
      <c r="F32" t="s">
        <v>215</v>
      </c>
      <c r="G32" t="s">
        <v>217</v>
      </c>
    </row>
    <row r="33" spans="1:7" x14ac:dyDescent="0.35">
      <c r="A33" t="s">
        <v>54</v>
      </c>
      <c r="B33" t="s">
        <v>60</v>
      </c>
      <c r="C33" s="3" t="str">
        <f>VLOOKUP(A33&amp;" - "&amp;B33,name6a,2,FALSE)</f>
        <v>To do</v>
      </c>
      <c r="D33" t="s">
        <v>8</v>
      </c>
      <c r="E33">
        <v>2820</v>
      </c>
      <c r="F33" t="s">
        <v>45</v>
      </c>
      <c r="G33" t="s">
        <v>216</v>
      </c>
    </row>
    <row r="34" spans="1:7" x14ac:dyDescent="0.35">
      <c r="A34" t="s">
        <v>54</v>
      </c>
      <c r="B34" t="s">
        <v>61</v>
      </c>
      <c r="C34" s="3" t="str">
        <f>VLOOKUP(A34&amp;" - "&amp;B34,name6a,2,FALSE)</f>
        <v>To do</v>
      </c>
      <c r="D34" t="s">
        <v>8</v>
      </c>
      <c r="E34">
        <v>2819</v>
      </c>
      <c r="F34" t="s">
        <v>215</v>
      </c>
      <c r="G34" t="s">
        <v>214</v>
      </c>
    </row>
    <row r="35" spans="1:7" x14ac:dyDescent="0.35">
      <c r="A35" t="s">
        <v>62</v>
      </c>
      <c r="B35" t="s">
        <v>63</v>
      </c>
      <c r="C35" s="3" t="str">
        <f>VLOOKUP(A35&amp;" - "&amp;B35,name6a,2,FALSE)</f>
        <v>To do</v>
      </c>
      <c r="D35" t="s">
        <v>8</v>
      </c>
      <c r="E35">
        <v>2888</v>
      </c>
      <c r="F35" t="s">
        <v>12</v>
      </c>
      <c r="G35" t="s">
        <v>213</v>
      </c>
    </row>
    <row r="36" spans="1:7" x14ac:dyDescent="0.35">
      <c r="A36" t="s">
        <v>62</v>
      </c>
      <c r="B36" t="s">
        <v>64</v>
      </c>
      <c r="C36" s="3" t="str">
        <f>VLOOKUP(A36&amp;" - "&amp;B36,name6a,2,FALSE)</f>
        <v>To do</v>
      </c>
      <c r="D36" t="s">
        <v>8</v>
      </c>
      <c r="E36">
        <v>2866</v>
      </c>
      <c r="F36" t="s">
        <v>12</v>
      </c>
      <c r="G36" t="s">
        <v>212</v>
      </c>
    </row>
    <row r="37" spans="1:7" x14ac:dyDescent="0.35">
      <c r="A37" t="s">
        <v>62</v>
      </c>
      <c r="B37" t="s">
        <v>65</v>
      </c>
      <c r="C37" s="3" t="str">
        <f>VLOOKUP(A37&amp;" - "&amp;B37,name6a,2,FALSE)</f>
        <v>To do</v>
      </c>
      <c r="D37" t="s">
        <v>8</v>
      </c>
      <c r="E37">
        <v>2866</v>
      </c>
      <c r="F37" t="s">
        <v>12</v>
      </c>
      <c r="G37" t="s">
        <v>211</v>
      </c>
    </row>
    <row r="38" spans="1:7" x14ac:dyDescent="0.35">
      <c r="A38" t="s">
        <v>62</v>
      </c>
      <c r="B38" t="s">
        <v>66</v>
      </c>
      <c r="C38" s="3" t="str">
        <f>VLOOKUP(A38&amp;" - "&amp;B38,name6a,2,FALSE)</f>
        <v>Mapped</v>
      </c>
      <c r="D38" t="s">
        <v>8</v>
      </c>
      <c r="E38">
        <v>2899</v>
      </c>
      <c r="F38" t="s">
        <v>12</v>
      </c>
      <c r="G38" t="s">
        <v>210</v>
      </c>
    </row>
    <row r="39" spans="1:7" x14ac:dyDescent="0.35">
      <c r="A39" t="s">
        <v>67</v>
      </c>
      <c r="B39" t="s">
        <v>67</v>
      </c>
      <c r="C39" s="3" t="str">
        <f>VLOOKUP(A39&amp;" - "&amp;B39,name6a,2,FALSE)</f>
        <v>Yes</v>
      </c>
      <c r="D39" t="s">
        <v>8</v>
      </c>
      <c r="E39">
        <v>1645</v>
      </c>
      <c r="F39" t="s">
        <v>68</v>
      </c>
      <c r="G39" t="s">
        <v>69</v>
      </c>
    </row>
    <row r="40" spans="1:7" x14ac:dyDescent="0.35">
      <c r="A40" t="s">
        <v>70</v>
      </c>
      <c r="B40" t="s">
        <v>71</v>
      </c>
      <c r="C40" s="3" t="str">
        <f>VLOOKUP(A40&amp;" - "&amp;B40,name6a,2,FALSE)</f>
        <v>Yes</v>
      </c>
      <c r="D40" t="s">
        <v>8</v>
      </c>
      <c r="E40">
        <v>2061</v>
      </c>
      <c r="F40" t="s">
        <v>72</v>
      </c>
      <c r="G40" t="s">
        <v>73</v>
      </c>
    </row>
    <row r="41" spans="1:7" x14ac:dyDescent="0.35">
      <c r="A41" t="s">
        <v>70</v>
      </c>
      <c r="B41" t="s">
        <v>74</v>
      </c>
      <c r="C41" s="3" t="str">
        <f>VLOOKUP(A41&amp;" - "&amp;B41,name6a,2,FALSE)</f>
        <v>Yes</v>
      </c>
      <c r="D41" t="s">
        <v>8</v>
      </c>
      <c r="E41">
        <v>2105</v>
      </c>
      <c r="F41" t="s">
        <v>12</v>
      </c>
      <c r="G41" t="s">
        <v>75</v>
      </c>
    </row>
    <row r="42" spans="1:7" x14ac:dyDescent="0.35">
      <c r="A42" t="s">
        <v>70</v>
      </c>
      <c r="B42" t="s">
        <v>76</v>
      </c>
      <c r="C42" s="3" t="str">
        <f>VLOOKUP(A42&amp;" - "&amp;B42,name6a,2,FALSE)</f>
        <v>Mapped</v>
      </c>
      <c r="D42" t="s">
        <v>8</v>
      </c>
      <c r="E42">
        <v>2118</v>
      </c>
      <c r="F42" t="s">
        <v>209</v>
      </c>
      <c r="G42" t="s">
        <v>208</v>
      </c>
    </row>
    <row r="43" spans="1:7" x14ac:dyDescent="0.35">
      <c r="A43" t="s">
        <v>70</v>
      </c>
      <c r="B43" t="s">
        <v>77</v>
      </c>
      <c r="C43" s="3" t="str">
        <f>VLOOKUP(A43&amp;" - "&amp;B43,name6a,2,FALSE)</f>
        <v>Yes</v>
      </c>
      <c r="D43" t="s">
        <v>8</v>
      </c>
      <c r="E43">
        <v>2126</v>
      </c>
      <c r="F43" t="s">
        <v>78</v>
      </c>
      <c r="G43" t="s">
        <v>79</v>
      </c>
    </row>
    <row r="44" spans="1:7" x14ac:dyDescent="0.35">
      <c r="A44" t="s">
        <v>70</v>
      </c>
      <c r="B44" t="s">
        <v>80</v>
      </c>
      <c r="C44" s="3" t="str">
        <f>VLOOKUP(A44&amp;" - "&amp;B44,name6a,2,FALSE)</f>
        <v>Yes</v>
      </c>
      <c r="D44" t="s">
        <v>8</v>
      </c>
      <c r="E44">
        <v>2067</v>
      </c>
      <c r="F44" t="s">
        <v>81</v>
      </c>
      <c r="G44" t="s">
        <v>82</v>
      </c>
    </row>
    <row r="45" spans="1:7" x14ac:dyDescent="0.35">
      <c r="A45" t="s">
        <v>70</v>
      </c>
      <c r="B45" t="s">
        <v>83</v>
      </c>
      <c r="C45" s="3" t="str">
        <f>VLOOKUP(A45&amp;" - "&amp;B45,name6a,2,FALSE)</f>
        <v>Mapped</v>
      </c>
      <c r="D45" t="s">
        <v>8</v>
      </c>
      <c r="E45">
        <v>2095</v>
      </c>
      <c r="F45" t="s">
        <v>207</v>
      </c>
      <c r="G45" t="s">
        <v>206</v>
      </c>
    </row>
    <row r="46" spans="1:7" x14ac:dyDescent="0.35">
      <c r="A46" t="s">
        <v>84</v>
      </c>
      <c r="B46" t="s">
        <v>84</v>
      </c>
      <c r="C46" s="3" t="str">
        <f>VLOOKUP(A46&amp;" - "&amp;B46,name6a,2,FALSE)</f>
        <v>Yes</v>
      </c>
      <c r="D46" t="s">
        <v>8</v>
      </c>
      <c r="E46">
        <v>1042</v>
      </c>
      <c r="F46" t="s">
        <v>68</v>
      </c>
      <c r="G46" t="s">
        <v>85</v>
      </c>
    </row>
    <row r="47" spans="1:7" x14ac:dyDescent="0.35">
      <c r="A47" t="s">
        <v>84</v>
      </c>
      <c r="B47" t="s">
        <v>86</v>
      </c>
      <c r="C47" s="3" t="str">
        <f>VLOOKUP(A47&amp;" - "&amp;B47,name6a,2,FALSE)</f>
        <v>Yes</v>
      </c>
      <c r="D47" t="s">
        <v>8</v>
      </c>
      <c r="E47">
        <v>1030</v>
      </c>
      <c r="F47" t="s">
        <v>87</v>
      </c>
      <c r="G47" t="s">
        <v>88</v>
      </c>
    </row>
    <row r="48" spans="1:7" x14ac:dyDescent="0.35">
      <c r="A48" t="s">
        <v>84</v>
      </c>
      <c r="B48" t="s">
        <v>89</v>
      </c>
      <c r="C48" s="3" t="str">
        <f>VLOOKUP(A48&amp;" - "&amp;B48,name6a,2,FALSE)</f>
        <v>Yes</v>
      </c>
      <c r="D48" t="s">
        <v>8</v>
      </c>
      <c r="E48">
        <v>1035</v>
      </c>
      <c r="F48" t="s">
        <v>90</v>
      </c>
      <c r="G48" t="s">
        <v>91</v>
      </c>
    </row>
    <row r="49" spans="1:7" x14ac:dyDescent="0.35">
      <c r="A49" t="s">
        <v>84</v>
      </c>
      <c r="B49" t="s">
        <v>92</v>
      </c>
      <c r="C49" s="3" t="str">
        <f>VLOOKUP(A49&amp;" - "&amp;B49,name6a,2,FALSE)</f>
        <v>Yes</v>
      </c>
      <c r="D49" t="s">
        <v>8</v>
      </c>
      <c r="E49">
        <v>1116</v>
      </c>
      <c r="F49" t="s">
        <v>12</v>
      </c>
      <c r="G49" t="s">
        <v>93</v>
      </c>
    </row>
    <row r="50" spans="1:7" x14ac:dyDescent="0.35">
      <c r="A50" t="s">
        <v>84</v>
      </c>
      <c r="B50" t="s">
        <v>94</v>
      </c>
      <c r="C50" s="3" t="str">
        <f>VLOOKUP(A50&amp;" - "&amp;B50,name6a,2,FALSE)</f>
        <v>Yes</v>
      </c>
      <c r="D50" t="s">
        <v>8</v>
      </c>
      <c r="E50">
        <v>1127</v>
      </c>
      <c r="F50" t="s">
        <v>95</v>
      </c>
      <c r="G50" t="s">
        <v>82</v>
      </c>
    </row>
    <row r="51" spans="1:7" x14ac:dyDescent="0.35">
      <c r="A51" t="s">
        <v>96</v>
      </c>
      <c r="B51" t="s">
        <v>97</v>
      </c>
      <c r="C51" s="3" t="str">
        <f>VLOOKUP(A51&amp;" - "&amp;B51,name6a,2,FALSE)</f>
        <v>Yes</v>
      </c>
      <c r="D51" t="s">
        <v>8</v>
      </c>
      <c r="E51">
        <v>24</v>
      </c>
      <c r="F51" t="s">
        <v>98</v>
      </c>
      <c r="G51" t="s">
        <v>99</v>
      </c>
    </row>
    <row r="52" spans="1:7" x14ac:dyDescent="0.35">
      <c r="A52" t="s">
        <v>96</v>
      </c>
      <c r="B52" t="s">
        <v>100</v>
      </c>
      <c r="C52" s="3" t="str">
        <f>VLOOKUP(A52&amp;" - "&amp;B52,name6a,2,FALSE)</f>
        <v>Yes</v>
      </c>
      <c r="D52" t="s">
        <v>8</v>
      </c>
      <c r="E52">
        <v>48</v>
      </c>
      <c r="F52" t="s">
        <v>101</v>
      </c>
      <c r="G52">
        <v>19470501</v>
      </c>
    </row>
    <row r="53" spans="1:7" x14ac:dyDescent="0.35">
      <c r="A53" t="s">
        <v>96</v>
      </c>
      <c r="B53" t="s">
        <v>102</v>
      </c>
      <c r="C53" s="3" t="str">
        <f>VLOOKUP(A53&amp;" - "&amp;B53,name6a,2,FALSE)</f>
        <v>Mapped</v>
      </c>
      <c r="D53" t="s">
        <v>8</v>
      </c>
      <c r="E53">
        <v>30</v>
      </c>
      <c r="F53" t="s">
        <v>114</v>
      </c>
      <c r="G53" t="s">
        <v>205</v>
      </c>
    </row>
    <row r="54" spans="1:7" x14ac:dyDescent="0.35">
      <c r="A54" t="s">
        <v>96</v>
      </c>
      <c r="B54" t="s">
        <v>103</v>
      </c>
      <c r="C54" s="3" t="str">
        <f>VLOOKUP(A54&amp;" - "&amp;B54,name6a,2,FALSE)</f>
        <v>Yes</v>
      </c>
      <c r="D54" t="s">
        <v>8</v>
      </c>
      <c r="E54">
        <v>53</v>
      </c>
      <c r="F54" t="s">
        <v>104</v>
      </c>
      <c r="G54" t="s">
        <v>105</v>
      </c>
    </row>
    <row r="55" spans="1:7" x14ac:dyDescent="0.35">
      <c r="A55" t="s">
        <v>96</v>
      </c>
      <c r="B55" t="s">
        <v>106</v>
      </c>
      <c r="C55" s="3" t="str">
        <f>VLOOKUP(A55&amp;" - "&amp;B55,name6a,2,FALSE)</f>
        <v>Yes</v>
      </c>
      <c r="D55" t="s">
        <v>8</v>
      </c>
      <c r="E55">
        <v>39</v>
      </c>
      <c r="F55" t="s">
        <v>107</v>
      </c>
      <c r="G55" t="s">
        <v>108</v>
      </c>
    </row>
    <row r="56" spans="1:7" x14ac:dyDescent="0.35">
      <c r="A56" t="s">
        <v>96</v>
      </c>
      <c r="B56" t="s">
        <v>109</v>
      </c>
      <c r="C56" s="3" t="str">
        <f>VLOOKUP(A56&amp;" - "&amp;B56,name6a,2,FALSE)</f>
        <v>Omit</v>
      </c>
      <c r="D56" t="s">
        <v>8</v>
      </c>
      <c r="E56">
        <v>1886</v>
      </c>
      <c r="F56" t="s">
        <v>12</v>
      </c>
      <c r="G56" t="s">
        <v>204</v>
      </c>
    </row>
    <row r="57" spans="1:7" x14ac:dyDescent="0.35">
      <c r="A57" t="s">
        <v>96</v>
      </c>
      <c r="B57" t="s">
        <v>110</v>
      </c>
      <c r="C57" s="3" t="str">
        <f>VLOOKUP(A57&amp;" - "&amp;B57,name6a,2,FALSE)</f>
        <v>Yes</v>
      </c>
      <c r="D57" t="s">
        <v>8</v>
      </c>
      <c r="E57">
        <v>40</v>
      </c>
      <c r="F57" t="s">
        <v>111</v>
      </c>
      <c r="G57" t="s">
        <v>112</v>
      </c>
    </row>
    <row r="58" spans="1:7" x14ac:dyDescent="0.35">
      <c r="A58" t="s">
        <v>96</v>
      </c>
      <c r="B58" t="s">
        <v>113</v>
      </c>
      <c r="C58" s="3" t="str">
        <f>VLOOKUP(A58&amp;" - "&amp;B58,name6a,2,FALSE)</f>
        <v>Yes</v>
      </c>
      <c r="D58" t="s">
        <v>8</v>
      </c>
      <c r="E58">
        <v>29</v>
      </c>
      <c r="F58" t="s">
        <v>114</v>
      </c>
      <c r="G58" t="s">
        <v>115</v>
      </c>
    </row>
    <row r="59" spans="1:7" x14ac:dyDescent="0.35">
      <c r="A59" t="s">
        <v>96</v>
      </c>
      <c r="B59" t="s">
        <v>116</v>
      </c>
      <c r="C59" s="3" t="str">
        <f>VLOOKUP(A59&amp;" - "&amp;B59,name6a,2,FALSE)</f>
        <v>Yes</v>
      </c>
      <c r="D59" t="s">
        <v>8</v>
      </c>
      <c r="E59">
        <v>29</v>
      </c>
      <c r="F59" t="s">
        <v>117</v>
      </c>
      <c r="G59" t="s">
        <v>118</v>
      </c>
    </row>
    <row r="60" spans="1:7" x14ac:dyDescent="0.35">
      <c r="A60" t="s">
        <v>96</v>
      </c>
      <c r="B60" t="s">
        <v>119</v>
      </c>
      <c r="C60" s="3" t="str">
        <f>VLOOKUP(A60&amp;" - "&amp;B60,name6a,2,FALSE)</f>
        <v>Yes</v>
      </c>
      <c r="D60" t="s">
        <v>8</v>
      </c>
      <c r="E60">
        <v>86</v>
      </c>
      <c r="F60" t="s">
        <v>120</v>
      </c>
      <c r="G60" t="s">
        <v>121</v>
      </c>
    </row>
    <row r="61" spans="1:7" x14ac:dyDescent="0.35">
      <c r="A61" t="s">
        <v>96</v>
      </c>
      <c r="B61" t="s">
        <v>122</v>
      </c>
      <c r="C61" s="3" t="str">
        <f>VLOOKUP(A61&amp;" - "&amp;B61,name6a,2,FALSE)</f>
        <v>To do</v>
      </c>
      <c r="D61" t="s">
        <v>8</v>
      </c>
      <c r="E61">
        <v>32</v>
      </c>
      <c r="F61" t="s">
        <v>203</v>
      </c>
      <c r="G61" t="s">
        <v>202</v>
      </c>
    </row>
    <row r="62" spans="1:7" x14ac:dyDescent="0.35">
      <c r="A62" t="s">
        <v>96</v>
      </c>
      <c r="B62" t="s">
        <v>123</v>
      </c>
      <c r="C62" s="3" t="str">
        <f>VLOOKUP(A62&amp;" - "&amp;B62,name6a,2,FALSE)</f>
        <v>To do</v>
      </c>
      <c r="D62" t="s">
        <v>8</v>
      </c>
      <c r="E62">
        <v>44</v>
      </c>
      <c r="F62" t="s">
        <v>201</v>
      </c>
      <c r="G62" t="s">
        <v>200</v>
      </c>
    </row>
    <row r="63" spans="1:7" x14ac:dyDescent="0.35">
      <c r="A63" t="s">
        <v>96</v>
      </c>
      <c r="B63" t="s">
        <v>124</v>
      </c>
      <c r="C63" s="3" t="str">
        <f>VLOOKUP(A63&amp;" - "&amp;B63,name6a,2,FALSE)</f>
        <v>Yes</v>
      </c>
      <c r="D63" t="s">
        <v>8</v>
      </c>
      <c r="E63">
        <v>51</v>
      </c>
      <c r="F63" t="s">
        <v>125</v>
      </c>
      <c r="G63" t="s">
        <v>126</v>
      </c>
    </row>
    <row r="64" spans="1:7" x14ac:dyDescent="0.35">
      <c r="A64" t="s">
        <v>96</v>
      </c>
      <c r="B64" t="s">
        <v>127</v>
      </c>
      <c r="C64" s="3" t="str">
        <f>VLOOKUP(A64&amp;" - "&amp;B64,name6a,2,FALSE)</f>
        <v>Yes</v>
      </c>
      <c r="D64" t="s">
        <v>8</v>
      </c>
      <c r="E64">
        <v>68</v>
      </c>
      <c r="F64" t="s">
        <v>128</v>
      </c>
      <c r="G64" t="s">
        <v>129</v>
      </c>
    </row>
    <row r="65" spans="1:7" x14ac:dyDescent="0.35">
      <c r="A65" t="s">
        <v>96</v>
      </c>
      <c r="B65" t="s">
        <v>130</v>
      </c>
      <c r="C65" s="3" t="str">
        <f>VLOOKUP(A65&amp;" - "&amp;B65,name6a,2,FALSE)</f>
        <v>Yes</v>
      </c>
      <c r="D65" t="s">
        <v>8</v>
      </c>
      <c r="E65">
        <v>57</v>
      </c>
      <c r="F65" t="s">
        <v>45</v>
      </c>
      <c r="G65" t="s">
        <v>131</v>
      </c>
    </row>
    <row r="66" spans="1:7" x14ac:dyDescent="0.35">
      <c r="A66" t="s">
        <v>96</v>
      </c>
      <c r="B66" t="s">
        <v>132</v>
      </c>
      <c r="C66" s="3" t="str">
        <f>VLOOKUP(A66&amp;" - "&amp;B66,name6a,2,FALSE)</f>
        <v>Yes</v>
      </c>
      <c r="D66" t="s">
        <v>8</v>
      </c>
      <c r="E66">
        <v>47</v>
      </c>
      <c r="F66" t="s">
        <v>133</v>
      </c>
      <c r="G66" t="s">
        <v>134</v>
      </c>
    </row>
    <row r="67" spans="1:7" x14ac:dyDescent="0.35">
      <c r="A67" t="s">
        <v>96</v>
      </c>
      <c r="B67" t="s">
        <v>135</v>
      </c>
      <c r="C67" s="3" t="str">
        <f>VLOOKUP(A67&amp;" - "&amp;B67,name6a,2,FALSE)</f>
        <v>Omit</v>
      </c>
    </row>
    <row r="68" spans="1:7" x14ac:dyDescent="0.35">
      <c r="A68" t="s">
        <v>96</v>
      </c>
      <c r="B68" t="s">
        <v>136</v>
      </c>
      <c r="C68" s="3" t="str">
        <f>VLOOKUP(A68&amp;" - "&amp;B68,name6a,2,FALSE)</f>
        <v>Omit</v>
      </c>
      <c r="D68" t="s">
        <v>8</v>
      </c>
      <c r="E68">
        <v>1897</v>
      </c>
      <c r="F68" t="s">
        <v>12</v>
      </c>
      <c r="G68" t="s">
        <v>199</v>
      </c>
    </row>
    <row r="69" spans="1:7" x14ac:dyDescent="0.35">
      <c r="A69" t="s">
        <v>96</v>
      </c>
      <c r="B69" t="s">
        <v>137</v>
      </c>
      <c r="C69" s="3" t="str">
        <f>VLOOKUP(A69&amp;" - "&amp;B69,name6a,2,FALSE)</f>
        <v>Mapped</v>
      </c>
    </row>
    <row r="70" spans="1:7" x14ac:dyDescent="0.35">
      <c r="A70" t="s">
        <v>96</v>
      </c>
      <c r="B70" t="s">
        <v>138</v>
      </c>
      <c r="C70" s="3" t="str">
        <f>VLOOKUP(A70&amp;" - "&amp;B70,name6a,2,FALSE)</f>
        <v>To do</v>
      </c>
    </row>
    <row r="71" spans="1:7" x14ac:dyDescent="0.35">
      <c r="A71" t="s">
        <v>139</v>
      </c>
      <c r="B71" t="s">
        <v>139</v>
      </c>
      <c r="C71" s="3" t="str">
        <f>VLOOKUP(A71&amp;" - "&amp;B71,name6a,2,FALSE)</f>
        <v>Yes</v>
      </c>
      <c r="D71" t="s">
        <v>8</v>
      </c>
      <c r="E71">
        <v>336</v>
      </c>
      <c r="F71" t="s">
        <v>12</v>
      </c>
      <c r="G71" t="s">
        <v>140</v>
      </c>
    </row>
    <row r="72" spans="1:7" x14ac:dyDescent="0.35">
      <c r="A72" t="s">
        <v>139</v>
      </c>
      <c r="B72" t="s">
        <v>141</v>
      </c>
      <c r="C72" s="3" t="str">
        <f>VLOOKUP(A72&amp;" - "&amp;B72,name6a,2,FALSE)</f>
        <v>Yes</v>
      </c>
      <c r="D72" t="s">
        <v>8</v>
      </c>
      <c r="E72">
        <v>636</v>
      </c>
      <c r="F72" t="s">
        <v>27</v>
      </c>
      <c r="G72" t="s">
        <v>142</v>
      </c>
    </row>
    <row r="73" spans="1:7" x14ac:dyDescent="0.35">
      <c r="A73" t="s">
        <v>139</v>
      </c>
      <c r="B73" t="s">
        <v>143</v>
      </c>
      <c r="C73" s="3" t="str">
        <f>VLOOKUP(A73&amp;" - "&amp;B73,name6a,2,FALSE)</f>
        <v>Yes</v>
      </c>
      <c r="D73" t="s">
        <v>8</v>
      </c>
      <c r="E73">
        <v>527</v>
      </c>
      <c r="F73" t="s">
        <v>144</v>
      </c>
      <c r="G73" t="s">
        <v>145</v>
      </c>
    </row>
    <row r="74" spans="1:7" x14ac:dyDescent="0.35">
      <c r="A74" t="s">
        <v>146</v>
      </c>
      <c r="B74" t="s">
        <v>146</v>
      </c>
      <c r="C74" s="3" t="str">
        <f>VLOOKUP(A74&amp;" - "&amp;B74,name6a,2,FALSE)</f>
        <v>Yes</v>
      </c>
      <c r="D74" t="s">
        <v>8</v>
      </c>
      <c r="E74">
        <v>1335</v>
      </c>
      <c r="F74" t="s">
        <v>147</v>
      </c>
      <c r="G74" t="s">
        <v>148</v>
      </c>
    </row>
    <row r="75" spans="1:7" x14ac:dyDescent="0.35">
      <c r="A75" t="s">
        <v>146</v>
      </c>
      <c r="B75" t="s">
        <v>149</v>
      </c>
      <c r="C75" s="3" t="str">
        <f>VLOOKUP(A75&amp;" - "&amp;B75,name6a,2,FALSE)</f>
        <v>Yes</v>
      </c>
      <c r="D75" t="s">
        <v>8</v>
      </c>
      <c r="E75">
        <v>1538</v>
      </c>
      <c r="F75" t="s">
        <v>147</v>
      </c>
      <c r="G75" t="s">
        <v>150</v>
      </c>
    </row>
    <row r="76" spans="1:7" x14ac:dyDescent="0.35">
      <c r="A76" t="s">
        <v>146</v>
      </c>
      <c r="B76" t="s">
        <v>151</v>
      </c>
      <c r="C76" s="3" t="str">
        <f>VLOOKUP(A76&amp;" - "&amp;B76,name6a,2,FALSE)</f>
        <v>Yes</v>
      </c>
      <c r="D76" t="s">
        <v>8</v>
      </c>
      <c r="E76">
        <v>1344</v>
      </c>
      <c r="F76" t="s">
        <v>42</v>
      </c>
      <c r="G76" t="s">
        <v>152</v>
      </c>
    </row>
    <row r="77" spans="1:7" x14ac:dyDescent="0.35">
      <c r="A77" t="s">
        <v>146</v>
      </c>
      <c r="B77" t="s">
        <v>153</v>
      </c>
      <c r="C77" s="3" t="str">
        <f>VLOOKUP(A77&amp;" - "&amp;B77,name6a,2,FALSE)</f>
        <v>To do</v>
      </c>
      <c r="D77" t="s">
        <v>8</v>
      </c>
      <c r="E77">
        <v>2911</v>
      </c>
      <c r="F77" t="s">
        <v>27</v>
      </c>
      <c r="G77" t="s">
        <v>198</v>
      </c>
    </row>
    <row r="78" spans="1:7" x14ac:dyDescent="0.35">
      <c r="A78" t="s">
        <v>154</v>
      </c>
      <c r="B78" t="s">
        <v>155</v>
      </c>
      <c r="C78" s="3" t="str">
        <f>VLOOKUP(A78&amp;" - "&amp;B78,name6a,2,FALSE)</f>
        <v>Yes</v>
      </c>
      <c r="D78" t="s">
        <v>8</v>
      </c>
      <c r="E78">
        <v>120</v>
      </c>
      <c r="F78" t="s">
        <v>156</v>
      </c>
      <c r="G78" t="s">
        <v>157</v>
      </c>
    </row>
    <row r="79" spans="1:7" x14ac:dyDescent="0.35">
      <c r="A79" t="s">
        <v>154</v>
      </c>
      <c r="B79" t="s">
        <v>158</v>
      </c>
      <c r="C79" s="3" t="str">
        <f>VLOOKUP(A79&amp;" - "&amp;B79,name6a,2,FALSE)</f>
        <v>Yes</v>
      </c>
      <c r="D79" t="s">
        <v>8</v>
      </c>
      <c r="E79">
        <v>94</v>
      </c>
      <c r="F79" t="s">
        <v>159</v>
      </c>
      <c r="G79" t="s">
        <v>160</v>
      </c>
    </row>
    <row r="80" spans="1:7" x14ac:dyDescent="0.35">
      <c r="A80" t="s">
        <v>154</v>
      </c>
      <c r="B80" t="s">
        <v>161</v>
      </c>
      <c r="C80" s="3" t="str">
        <f>VLOOKUP(A80&amp;" - "&amp;B80,name6a,2,FALSE)</f>
        <v>Yes</v>
      </c>
      <c r="D80" t="s">
        <v>8</v>
      </c>
      <c r="E80">
        <v>110</v>
      </c>
      <c r="F80" t="s">
        <v>45</v>
      </c>
      <c r="G80" t="s">
        <v>162</v>
      </c>
    </row>
    <row r="81" spans="1:7" x14ac:dyDescent="0.35">
      <c r="A81" t="s">
        <v>154</v>
      </c>
      <c r="B81" t="s">
        <v>163</v>
      </c>
      <c r="C81" s="3" t="str">
        <f>VLOOKUP(A81&amp;" - "&amp;B81,name6a,2,FALSE)</f>
        <v>Yes</v>
      </c>
      <c r="D81" t="s">
        <v>8</v>
      </c>
      <c r="E81">
        <v>106</v>
      </c>
      <c r="F81" t="s">
        <v>164</v>
      </c>
      <c r="G81" t="s">
        <v>165</v>
      </c>
    </row>
    <row r="82" spans="1:7" x14ac:dyDescent="0.35">
      <c r="A82" t="s">
        <v>166</v>
      </c>
      <c r="B82" t="s">
        <v>166</v>
      </c>
      <c r="C82" s="3" t="str">
        <f>VLOOKUP(A82&amp;" - "&amp;B82,name6a,2,FALSE)</f>
        <v>Yes</v>
      </c>
      <c r="D82" t="s">
        <v>8</v>
      </c>
      <c r="E82">
        <v>1862</v>
      </c>
      <c r="F82" t="s">
        <v>12</v>
      </c>
      <c r="G82" t="s">
        <v>167</v>
      </c>
    </row>
    <row r="83" spans="1:7" x14ac:dyDescent="0.35">
      <c r="A83" t="s">
        <v>166</v>
      </c>
      <c r="B83" t="s">
        <v>168</v>
      </c>
      <c r="C83" s="3" t="str">
        <f>VLOOKUP(A83&amp;" - "&amp;B83,name6a,2,FALSE)</f>
        <v>Later</v>
      </c>
      <c r="D83" t="s">
        <v>8</v>
      </c>
      <c r="E83">
        <v>1908</v>
      </c>
      <c r="F83" t="s">
        <v>12</v>
      </c>
      <c r="G83" t="s">
        <v>197</v>
      </c>
    </row>
    <row r="84" spans="1:7" x14ac:dyDescent="0.35">
      <c r="A84" t="s">
        <v>169</v>
      </c>
      <c r="B84" t="s">
        <v>170</v>
      </c>
      <c r="C84" s="3" t="str">
        <f>VLOOKUP(A84&amp;" - "&amp;B84,name6a,2,FALSE)</f>
        <v>Yes</v>
      </c>
      <c r="D84" t="s">
        <v>8</v>
      </c>
      <c r="E84">
        <v>1456</v>
      </c>
      <c r="F84" t="s">
        <v>9</v>
      </c>
      <c r="G84" t="s">
        <v>171</v>
      </c>
    </row>
    <row r="85" spans="1:7" x14ac:dyDescent="0.35">
      <c r="A85" t="s">
        <v>172</v>
      </c>
      <c r="B85" t="s">
        <v>173</v>
      </c>
      <c r="C85" s="3" t="str">
        <f>VLOOKUP(A85&amp;" - "&amp;B85,name6a,2,FALSE)</f>
        <v>Mapped</v>
      </c>
      <c r="D85" t="s">
        <v>8</v>
      </c>
      <c r="E85">
        <v>2241</v>
      </c>
      <c r="F85" t="s">
        <v>12</v>
      </c>
      <c r="G85" t="s">
        <v>196</v>
      </c>
    </row>
    <row r="86" spans="1:7" x14ac:dyDescent="0.35">
      <c r="A86" t="s">
        <v>172</v>
      </c>
      <c r="B86" t="s">
        <v>174</v>
      </c>
      <c r="C86" s="3" t="str">
        <f>VLOOKUP(A86&amp;" - "&amp;B86,name6a,2,FALSE)</f>
        <v>Mapped</v>
      </c>
      <c r="D86" t="s">
        <v>8</v>
      </c>
      <c r="E86">
        <v>2205</v>
      </c>
      <c r="F86" t="s">
        <v>12</v>
      </c>
      <c r="G86" t="s">
        <v>195</v>
      </c>
    </row>
    <row r="87" spans="1:7" x14ac:dyDescent="0.35">
      <c r="A87" t="s">
        <v>172</v>
      </c>
      <c r="B87" t="s">
        <v>175</v>
      </c>
      <c r="C87" s="3" t="str">
        <f>VLOOKUP(A87&amp;" - "&amp;B87,name6a,2,FALSE)</f>
        <v>Mapped</v>
      </c>
      <c r="D87" t="s">
        <v>8</v>
      </c>
      <c r="E87">
        <v>2193</v>
      </c>
      <c r="F87" t="s">
        <v>12</v>
      </c>
      <c r="G87" t="s">
        <v>194</v>
      </c>
    </row>
    <row r="88" spans="1:7" x14ac:dyDescent="0.35">
      <c r="A88" t="s">
        <v>172</v>
      </c>
      <c r="B88" t="s">
        <v>176</v>
      </c>
      <c r="C88" s="3" t="str">
        <f>VLOOKUP(A88&amp;" - "&amp;B88,name6a,2,FALSE)</f>
        <v>Mapped</v>
      </c>
      <c r="D88" t="s">
        <v>8</v>
      </c>
      <c r="E88">
        <v>2217</v>
      </c>
      <c r="F88" t="s">
        <v>12</v>
      </c>
      <c r="G88" t="s">
        <v>193</v>
      </c>
    </row>
    <row r="89" spans="1:7" x14ac:dyDescent="0.35">
      <c r="A89" t="s">
        <v>172</v>
      </c>
      <c r="B89" t="s">
        <v>177</v>
      </c>
      <c r="C89" s="3" t="str">
        <f>VLOOKUP(A89&amp;" - "&amp;B89,name6a,2,FALSE)</f>
        <v>Mapped</v>
      </c>
      <c r="D89" t="s">
        <v>8</v>
      </c>
      <c r="E89">
        <v>2253</v>
      </c>
      <c r="F89" t="s">
        <v>12</v>
      </c>
      <c r="G89" t="s">
        <v>192</v>
      </c>
    </row>
    <row r="90" spans="1:7" x14ac:dyDescent="0.35">
      <c r="A90" t="s">
        <v>172</v>
      </c>
      <c r="B90" t="s">
        <v>178</v>
      </c>
      <c r="C90" s="3" t="str">
        <f>VLOOKUP(A90&amp;" - "&amp;B90,name6a,2,FALSE)</f>
        <v>Mapped</v>
      </c>
      <c r="D90" t="s">
        <v>8</v>
      </c>
      <c r="E90">
        <v>2229</v>
      </c>
      <c r="F90" t="s">
        <v>12</v>
      </c>
      <c r="G90" t="s">
        <v>191</v>
      </c>
    </row>
    <row r="91" spans="1:7" x14ac:dyDescent="0.35">
      <c r="A91" t="s">
        <v>172</v>
      </c>
      <c r="B91" t="s">
        <v>179</v>
      </c>
      <c r="C91" s="3" t="str">
        <f>VLOOKUP(A91&amp;" - "&amp;B91,name6a,2,FALSE)</f>
        <v>Mapped</v>
      </c>
      <c r="D91" t="s">
        <v>8</v>
      </c>
      <c r="E91">
        <v>2178</v>
      </c>
      <c r="F91" t="s">
        <v>12</v>
      </c>
      <c r="G91" t="s">
        <v>190</v>
      </c>
    </row>
    <row r="92" spans="1:7" x14ac:dyDescent="0.35">
      <c r="A92" t="s">
        <v>172</v>
      </c>
      <c r="B92" t="s">
        <v>181</v>
      </c>
      <c r="C92" s="3" t="str">
        <f>VLOOKUP(A92&amp;" - "&amp;B92,name6a,2,FALSE)</f>
        <v>Mapped</v>
      </c>
      <c r="D92" t="s">
        <v>8</v>
      </c>
      <c r="E92">
        <v>2289</v>
      </c>
      <c r="F92" t="s">
        <v>12</v>
      </c>
      <c r="G92" t="s">
        <v>189</v>
      </c>
    </row>
    <row r="93" spans="1:7" x14ac:dyDescent="0.35">
      <c r="A93" t="s">
        <v>172</v>
      </c>
      <c r="B93" t="s">
        <v>182</v>
      </c>
      <c r="C93" s="3" t="str">
        <f>VLOOKUP(A93&amp;" - "&amp;B93,name6a,2,FALSE)</f>
        <v>Mapped</v>
      </c>
    </row>
    <row r="94" spans="1:7" x14ac:dyDescent="0.35">
      <c r="A94" t="s">
        <v>172</v>
      </c>
      <c r="B94" t="s">
        <v>183</v>
      </c>
      <c r="C94" s="3" t="str">
        <f>VLOOKUP(A94&amp;" - "&amp;B94,name6a,2,FALSE)</f>
        <v>Mapped</v>
      </c>
    </row>
    <row r="95" spans="1:7" x14ac:dyDescent="0.35">
      <c r="A95" t="s">
        <v>172</v>
      </c>
      <c r="B95" t="s">
        <v>184</v>
      </c>
      <c r="C95" s="3" t="str">
        <f>VLOOKUP(A95&amp;" - "&amp;B95,name6a,2,FALSE)</f>
        <v>Mapped</v>
      </c>
    </row>
    <row r="96" spans="1:7" x14ac:dyDescent="0.35">
      <c r="A96" t="s">
        <v>172</v>
      </c>
      <c r="B96" t="s">
        <v>185</v>
      </c>
      <c r="C96" s="3" t="str">
        <f>VLOOKUP(A96&amp;" - "&amp;B96,name6a,2,FALSE)</f>
        <v>Mapped</v>
      </c>
      <c r="D96" t="s">
        <v>8</v>
      </c>
      <c r="E96">
        <v>2277</v>
      </c>
      <c r="F96" t="s">
        <v>12</v>
      </c>
      <c r="G96" t="s">
        <v>188</v>
      </c>
    </row>
    <row r="97" spans="1:7" x14ac:dyDescent="0.35">
      <c r="A97" t="s">
        <v>172</v>
      </c>
      <c r="B97" t="s">
        <v>186</v>
      </c>
      <c r="C97" s="3" t="str">
        <f>VLOOKUP(A97&amp;" - "&amp;B97,name6a,2,FALSE)</f>
        <v>Mapped</v>
      </c>
      <c r="D97" t="s">
        <v>8</v>
      </c>
      <c r="E97">
        <v>2265</v>
      </c>
      <c r="F97" t="s">
        <v>12</v>
      </c>
      <c r="G9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USCDI_v3_Myra_v6</vt:lpstr>
      <vt:lpstr>USCDI_v3_Myra_v7</vt:lpstr>
      <vt:lpstr>name6</vt:lpstr>
      <vt:lpstr>name6a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Lyle</cp:lastModifiedBy>
  <dcterms:created xsi:type="dcterms:W3CDTF">2026-04-13T19:01:48Z</dcterms:created>
  <dcterms:modified xsi:type="dcterms:W3CDTF">2026-04-13T20:00:17Z</dcterms:modified>
</cp:coreProperties>
</file>